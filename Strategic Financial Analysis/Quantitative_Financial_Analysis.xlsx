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bensoussan/Downloads/Projets CV/Finance TSE/"/>
    </mc:Choice>
  </mc:AlternateContent>
  <xr:revisionPtr revIDLastSave="0" documentId="13_ncr:1_{F2BEBF8A-4632-5641-A146-9441279DA607}" xr6:coauthVersionLast="47" xr6:coauthVersionMax="47" xr10:uidLastSave="{00000000-0000-0000-0000-000000000000}"/>
  <bookViews>
    <workbookView xWindow="0" yWindow="0" windowWidth="28800" windowHeight="18000" activeTab="4" xr2:uid="{9E241A62-2AFF-AE45-B8C7-57EB908DB99B}"/>
  </bookViews>
  <sheets>
    <sheet name="Évaluation d'Actions &amp; Stratégi" sheetId="1" r:id="rId1"/>
    <sheet name="Gestion de la Dette &amp; Arbitrage" sheetId="2" r:id="rId2"/>
    <sheet name="Data Démantèlement" sheetId="3" r:id="rId3"/>
    <sheet name="Modélisation de Passifs &amp; Renta" sheetId="6" r:id="rId4"/>
    <sheet name="Optimisation de Portefeuille (M" sheetId="4" r:id="rId5"/>
    <sheet name="Pricing d'Options &amp; Ingénierie " sheetId="5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5" l="1"/>
  <c r="H17" i="5"/>
  <c r="B13" i="5"/>
  <c r="C11" i="5"/>
  <c r="C13" i="5" s="1"/>
  <c r="B11" i="5"/>
  <c r="I13" i="1"/>
  <c r="I14" i="1" s="1"/>
  <c r="E9" i="1"/>
  <c r="B9" i="1"/>
  <c r="B11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O101" i="4"/>
  <c r="N101" i="4"/>
  <c r="M101" i="4"/>
  <c r="L101" i="4"/>
  <c r="O100" i="4"/>
  <c r="N100" i="4"/>
  <c r="M100" i="4"/>
  <c r="L100" i="4"/>
  <c r="O99" i="4"/>
  <c r="N99" i="4"/>
  <c r="M99" i="4"/>
  <c r="L99" i="4"/>
  <c r="O98" i="4"/>
  <c r="N98" i="4"/>
  <c r="M98" i="4"/>
  <c r="L98" i="4"/>
  <c r="O97" i="4"/>
  <c r="N97" i="4"/>
  <c r="M97" i="4"/>
  <c r="L97" i="4"/>
  <c r="O96" i="4"/>
  <c r="N96" i="4"/>
  <c r="M96" i="4"/>
  <c r="L96" i="4"/>
  <c r="O95" i="4"/>
  <c r="N95" i="4"/>
  <c r="M95" i="4"/>
  <c r="L95" i="4"/>
  <c r="O94" i="4"/>
  <c r="N94" i="4"/>
  <c r="M94" i="4"/>
  <c r="L94" i="4"/>
  <c r="O93" i="4"/>
  <c r="N93" i="4"/>
  <c r="M93" i="4"/>
  <c r="L93" i="4"/>
  <c r="O92" i="4"/>
  <c r="N92" i="4"/>
  <c r="M92" i="4"/>
  <c r="L92" i="4"/>
  <c r="O91" i="4"/>
  <c r="N91" i="4"/>
  <c r="M91" i="4"/>
  <c r="L91" i="4"/>
  <c r="O90" i="4"/>
  <c r="N90" i="4"/>
  <c r="M90" i="4"/>
  <c r="L90" i="4"/>
  <c r="O89" i="4"/>
  <c r="N89" i="4"/>
  <c r="M89" i="4"/>
  <c r="L89" i="4"/>
  <c r="O88" i="4"/>
  <c r="N88" i="4"/>
  <c r="M88" i="4"/>
  <c r="L88" i="4"/>
  <c r="O87" i="4"/>
  <c r="N87" i="4"/>
  <c r="M87" i="4"/>
  <c r="L87" i="4"/>
  <c r="O86" i="4"/>
  <c r="N86" i="4"/>
  <c r="M86" i="4"/>
  <c r="L86" i="4"/>
  <c r="O85" i="4"/>
  <c r="N85" i="4"/>
  <c r="M85" i="4"/>
  <c r="L85" i="4"/>
  <c r="O84" i="4"/>
  <c r="N84" i="4"/>
  <c r="M84" i="4"/>
  <c r="L84" i="4"/>
  <c r="O83" i="4"/>
  <c r="N83" i="4"/>
  <c r="M83" i="4"/>
  <c r="L83" i="4"/>
  <c r="O82" i="4"/>
  <c r="N82" i="4"/>
  <c r="M82" i="4"/>
  <c r="L82" i="4"/>
  <c r="O81" i="4"/>
  <c r="N81" i="4"/>
  <c r="M81" i="4"/>
  <c r="L81" i="4"/>
  <c r="O80" i="4"/>
  <c r="N80" i="4"/>
  <c r="M80" i="4"/>
  <c r="L80" i="4"/>
  <c r="O79" i="4"/>
  <c r="N79" i="4"/>
  <c r="M79" i="4"/>
  <c r="L79" i="4"/>
  <c r="O78" i="4"/>
  <c r="N78" i="4"/>
  <c r="M78" i="4"/>
  <c r="L78" i="4"/>
  <c r="O77" i="4"/>
  <c r="N77" i="4"/>
  <c r="M77" i="4"/>
  <c r="L77" i="4"/>
  <c r="O76" i="4"/>
  <c r="N76" i="4"/>
  <c r="M76" i="4"/>
  <c r="L76" i="4"/>
  <c r="O75" i="4"/>
  <c r="N75" i="4"/>
  <c r="M75" i="4"/>
  <c r="L75" i="4"/>
  <c r="O74" i="4"/>
  <c r="N74" i="4"/>
  <c r="M74" i="4"/>
  <c r="L74" i="4"/>
  <c r="O73" i="4"/>
  <c r="N73" i="4"/>
  <c r="M73" i="4"/>
  <c r="L73" i="4"/>
  <c r="O72" i="4"/>
  <c r="N72" i="4"/>
  <c r="M72" i="4"/>
  <c r="L72" i="4"/>
  <c r="O71" i="4"/>
  <c r="N71" i="4"/>
  <c r="M71" i="4"/>
  <c r="L71" i="4"/>
  <c r="O70" i="4"/>
  <c r="N70" i="4"/>
  <c r="M70" i="4"/>
  <c r="L70" i="4"/>
  <c r="O69" i="4"/>
  <c r="N69" i="4"/>
  <c r="M69" i="4"/>
  <c r="L69" i="4"/>
  <c r="O68" i="4"/>
  <c r="N68" i="4"/>
  <c r="M68" i="4"/>
  <c r="L68" i="4"/>
  <c r="O67" i="4"/>
  <c r="N67" i="4"/>
  <c r="M67" i="4"/>
  <c r="L67" i="4"/>
  <c r="O66" i="4"/>
  <c r="N66" i="4"/>
  <c r="M66" i="4"/>
  <c r="L66" i="4"/>
  <c r="O65" i="4"/>
  <c r="N65" i="4"/>
  <c r="M65" i="4"/>
  <c r="L65" i="4"/>
  <c r="O64" i="4"/>
  <c r="N64" i="4"/>
  <c r="M64" i="4"/>
  <c r="L64" i="4"/>
  <c r="O63" i="4"/>
  <c r="N63" i="4"/>
  <c r="M63" i="4"/>
  <c r="L63" i="4"/>
  <c r="O62" i="4"/>
  <c r="N62" i="4"/>
  <c r="M62" i="4"/>
  <c r="L62" i="4"/>
  <c r="O61" i="4"/>
  <c r="N61" i="4"/>
  <c r="M61" i="4"/>
  <c r="L61" i="4"/>
  <c r="O60" i="4"/>
  <c r="N60" i="4"/>
  <c r="M60" i="4"/>
  <c r="L60" i="4"/>
  <c r="O59" i="4"/>
  <c r="N59" i="4"/>
  <c r="M59" i="4"/>
  <c r="L59" i="4"/>
  <c r="O58" i="4"/>
  <c r="N58" i="4"/>
  <c r="M58" i="4"/>
  <c r="L58" i="4"/>
  <c r="O57" i="4"/>
  <c r="N57" i="4"/>
  <c r="M57" i="4"/>
  <c r="L57" i="4"/>
  <c r="O56" i="4"/>
  <c r="N56" i="4"/>
  <c r="M56" i="4"/>
  <c r="L56" i="4"/>
  <c r="O55" i="4"/>
  <c r="N55" i="4"/>
  <c r="M55" i="4"/>
  <c r="L55" i="4"/>
  <c r="O54" i="4"/>
  <c r="N54" i="4"/>
  <c r="M54" i="4"/>
  <c r="L54" i="4"/>
  <c r="O53" i="4"/>
  <c r="N53" i="4"/>
  <c r="M53" i="4"/>
  <c r="L53" i="4"/>
  <c r="O52" i="4"/>
  <c r="N52" i="4"/>
  <c r="M52" i="4"/>
  <c r="L52" i="4"/>
  <c r="O51" i="4"/>
  <c r="N51" i="4"/>
  <c r="M51" i="4"/>
  <c r="L51" i="4"/>
  <c r="O50" i="4"/>
  <c r="N50" i="4"/>
  <c r="M50" i="4"/>
  <c r="L50" i="4"/>
  <c r="J50" i="4"/>
  <c r="I50" i="4"/>
  <c r="H50" i="4"/>
  <c r="G50" i="4"/>
  <c r="O49" i="4"/>
  <c r="N49" i="4"/>
  <c r="M49" i="4"/>
  <c r="L49" i="4"/>
  <c r="J49" i="4"/>
  <c r="I49" i="4"/>
  <c r="H49" i="4"/>
  <c r="G49" i="4"/>
  <c r="O48" i="4"/>
  <c r="N48" i="4"/>
  <c r="M48" i="4"/>
  <c r="L48" i="4"/>
  <c r="J48" i="4"/>
  <c r="I48" i="4"/>
  <c r="H48" i="4"/>
  <c r="G48" i="4"/>
  <c r="O47" i="4"/>
  <c r="N47" i="4"/>
  <c r="M47" i="4"/>
  <c r="L47" i="4"/>
  <c r="J47" i="4"/>
  <c r="I47" i="4"/>
  <c r="H47" i="4"/>
  <c r="G47" i="4"/>
  <c r="O46" i="4"/>
  <c r="N46" i="4"/>
  <c r="M46" i="4"/>
  <c r="L46" i="4"/>
  <c r="J46" i="4"/>
  <c r="I46" i="4"/>
  <c r="H46" i="4"/>
  <c r="G46" i="4"/>
  <c r="O45" i="4"/>
  <c r="N45" i="4"/>
  <c r="M45" i="4"/>
  <c r="L45" i="4"/>
  <c r="J45" i="4"/>
  <c r="I45" i="4"/>
  <c r="H45" i="4"/>
  <c r="G45" i="4"/>
  <c r="O44" i="4"/>
  <c r="N44" i="4"/>
  <c r="M44" i="4"/>
  <c r="L44" i="4"/>
  <c r="J44" i="4"/>
  <c r="I44" i="4"/>
  <c r="H44" i="4"/>
  <c r="G44" i="4"/>
  <c r="O43" i="4"/>
  <c r="N43" i="4"/>
  <c r="M43" i="4"/>
  <c r="L43" i="4"/>
  <c r="J43" i="4"/>
  <c r="I43" i="4"/>
  <c r="H43" i="4"/>
  <c r="G43" i="4"/>
  <c r="O42" i="4"/>
  <c r="N42" i="4"/>
  <c r="M42" i="4"/>
  <c r="L42" i="4"/>
  <c r="J42" i="4"/>
  <c r="I42" i="4"/>
  <c r="H42" i="4"/>
  <c r="G42" i="4"/>
  <c r="O41" i="4"/>
  <c r="N41" i="4"/>
  <c r="M41" i="4"/>
  <c r="L41" i="4"/>
  <c r="J41" i="4"/>
  <c r="I41" i="4"/>
  <c r="H41" i="4"/>
  <c r="G41" i="4"/>
  <c r="O40" i="4"/>
  <c r="N40" i="4"/>
  <c r="M40" i="4"/>
  <c r="L40" i="4"/>
  <c r="J40" i="4"/>
  <c r="I40" i="4"/>
  <c r="H40" i="4"/>
  <c r="G40" i="4"/>
  <c r="O39" i="4"/>
  <c r="N39" i="4"/>
  <c r="M39" i="4"/>
  <c r="L39" i="4"/>
  <c r="J39" i="4"/>
  <c r="I39" i="4"/>
  <c r="H39" i="4"/>
  <c r="G39" i="4"/>
  <c r="O38" i="4"/>
  <c r="N38" i="4"/>
  <c r="M38" i="4"/>
  <c r="L38" i="4"/>
  <c r="J38" i="4"/>
  <c r="I38" i="4"/>
  <c r="H38" i="4"/>
  <c r="G38" i="4"/>
  <c r="O37" i="4"/>
  <c r="N37" i="4"/>
  <c r="M37" i="4"/>
  <c r="L37" i="4"/>
  <c r="J37" i="4"/>
  <c r="I37" i="4"/>
  <c r="H37" i="4"/>
  <c r="G37" i="4"/>
  <c r="O36" i="4"/>
  <c r="N36" i="4"/>
  <c r="M36" i="4"/>
  <c r="L36" i="4"/>
  <c r="J36" i="4"/>
  <c r="I36" i="4"/>
  <c r="H36" i="4"/>
  <c r="G36" i="4"/>
  <c r="O35" i="4"/>
  <c r="N35" i="4"/>
  <c r="M35" i="4"/>
  <c r="L35" i="4"/>
  <c r="J35" i="4"/>
  <c r="I35" i="4"/>
  <c r="H35" i="4"/>
  <c r="G35" i="4"/>
  <c r="O34" i="4"/>
  <c r="N34" i="4"/>
  <c r="M34" i="4"/>
  <c r="L34" i="4"/>
  <c r="J34" i="4"/>
  <c r="I34" i="4"/>
  <c r="H34" i="4"/>
  <c r="G34" i="4"/>
  <c r="O33" i="4"/>
  <c r="N33" i="4"/>
  <c r="M33" i="4"/>
  <c r="L33" i="4"/>
  <c r="J33" i="4"/>
  <c r="I33" i="4"/>
  <c r="H33" i="4"/>
  <c r="G33" i="4"/>
  <c r="O32" i="4"/>
  <c r="N32" i="4"/>
  <c r="M32" i="4"/>
  <c r="L32" i="4"/>
  <c r="J32" i="4"/>
  <c r="I32" i="4"/>
  <c r="H32" i="4"/>
  <c r="G32" i="4"/>
  <c r="O31" i="4"/>
  <c r="N31" i="4"/>
  <c r="M31" i="4"/>
  <c r="L31" i="4"/>
  <c r="J31" i="4"/>
  <c r="I31" i="4"/>
  <c r="H31" i="4"/>
  <c r="G31" i="4"/>
  <c r="O30" i="4"/>
  <c r="N30" i="4"/>
  <c r="M30" i="4"/>
  <c r="L30" i="4"/>
  <c r="J30" i="4"/>
  <c r="I30" i="4"/>
  <c r="H30" i="4"/>
  <c r="G30" i="4"/>
  <c r="O29" i="4"/>
  <c r="N29" i="4"/>
  <c r="M29" i="4"/>
  <c r="L29" i="4"/>
  <c r="J29" i="4"/>
  <c r="I29" i="4"/>
  <c r="H29" i="4"/>
  <c r="G29" i="4"/>
  <c r="O28" i="4"/>
  <c r="N28" i="4"/>
  <c r="M28" i="4"/>
  <c r="L28" i="4"/>
  <c r="J28" i="4"/>
  <c r="I28" i="4"/>
  <c r="H28" i="4"/>
  <c r="G28" i="4"/>
  <c r="O27" i="4"/>
  <c r="N27" i="4"/>
  <c r="M27" i="4"/>
  <c r="L27" i="4"/>
  <c r="J27" i="4"/>
  <c r="I27" i="4"/>
  <c r="H27" i="4"/>
  <c r="G27" i="4"/>
  <c r="O26" i="4"/>
  <c r="N26" i="4"/>
  <c r="M26" i="4"/>
  <c r="L26" i="4"/>
  <c r="J26" i="4"/>
  <c r="I26" i="4"/>
  <c r="H26" i="4"/>
  <c r="G26" i="4"/>
  <c r="O25" i="4"/>
  <c r="N25" i="4"/>
  <c r="M25" i="4"/>
  <c r="L25" i="4"/>
  <c r="J25" i="4"/>
  <c r="I25" i="4"/>
  <c r="H25" i="4"/>
  <c r="G25" i="4"/>
  <c r="O24" i="4"/>
  <c r="N24" i="4"/>
  <c r="M24" i="4"/>
  <c r="L24" i="4"/>
  <c r="J24" i="4"/>
  <c r="I24" i="4"/>
  <c r="H24" i="4"/>
  <c r="G24" i="4"/>
  <c r="O23" i="4"/>
  <c r="N23" i="4"/>
  <c r="M23" i="4"/>
  <c r="L23" i="4"/>
  <c r="J23" i="4"/>
  <c r="I23" i="4"/>
  <c r="H23" i="4"/>
  <c r="G23" i="4"/>
  <c r="O22" i="4"/>
  <c r="N22" i="4"/>
  <c r="M22" i="4"/>
  <c r="L22" i="4"/>
  <c r="J22" i="4"/>
  <c r="I22" i="4"/>
  <c r="H22" i="4"/>
  <c r="G22" i="4"/>
  <c r="O21" i="4"/>
  <c r="N21" i="4"/>
  <c r="M21" i="4"/>
  <c r="L21" i="4"/>
  <c r="J21" i="4"/>
  <c r="I21" i="4"/>
  <c r="H21" i="4"/>
  <c r="G21" i="4"/>
  <c r="O20" i="4"/>
  <c r="N20" i="4"/>
  <c r="M20" i="4"/>
  <c r="L20" i="4"/>
  <c r="J20" i="4"/>
  <c r="I20" i="4"/>
  <c r="H20" i="4"/>
  <c r="G20" i="4"/>
  <c r="O19" i="4"/>
  <c r="N19" i="4"/>
  <c r="M19" i="4"/>
  <c r="L19" i="4"/>
  <c r="J19" i="4"/>
  <c r="I19" i="4"/>
  <c r="H19" i="4"/>
  <c r="G19" i="4"/>
  <c r="O18" i="4"/>
  <c r="N18" i="4"/>
  <c r="M18" i="4"/>
  <c r="L18" i="4"/>
  <c r="J18" i="4"/>
  <c r="I18" i="4"/>
  <c r="H18" i="4"/>
  <c r="G18" i="4"/>
  <c r="O17" i="4"/>
  <c r="N17" i="4"/>
  <c r="M17" i="4"/>
  <c r="L17" i="4"/>
  <c r="J17" i="4"/>
  <c r="I17" i="4"/>
  <c r="H17" i="4"/>
  <c r="G17" i="4"/>
  <c r="O16" i="4"/>
  <c r="N16" i="4"/>
  <c r="M16" i="4"/>
  <c r="L16" i="4"/>
  <c r="J16" i="4"/>
  <c r="I16" i="4"/>
  <c r="H16" i="4"/>
  <c r="G16" i="4"/>
  <c r="O15" i="4"/>
  <c r="N15" i="4"/>
  <c r="M15" i="4"/>
  <c r="L15" i="4"/>
  <c r="J15" i="4"/>
  <c r="I15" i="4"/>
  <c r="H15" i="4"/>
  <c r="G15" i="4"/>
  <c r="O14" i="4"/>
  <c r="N14" i="4"/>
  <c r="M14" i="4"/>
  <c r="L14" i="4"/>
  <c r="J14" i="4"/>
  <c r="I14" i="4"/>
  <c r="H14" i="4"/>
  <c r="G14" i="4"/>
  <c r="O13" i="4"/>
  <c r="N13" i="4"/>
  <c r="M13" i="4"/>
  <c r="L13" i="4"/>
  <c r="J13" i="4"/>
  <c r="I13" i="4"/>
  <c r="H13" i="4"/>
  <c r="G13" i="4"/>
  <c r="O12" i="4"/>
  <c r="N12" i="4"/>
  <c r="M12" i="4"/>
  <c r="L12" i="4"/>
  <c r="J12" i="4"/>
  <c r="I12" i="4"/>
  <c r="H12" i="4"/>
  <c r="G12" i="4"/>
  <c r="O11" i="4"/>
  <c r="N11" i="4"/>
  <c r="M11" i="4"/>
  <c r="L11" i="4"/>
  <c r="J11" i="4"/>
  <c r="I11" i="4"/>
  <c r="H11" i="4"/>
  <c r="G11" i="4"/>
  <c r="O10" i="4"/>
  <c r="N10" i="4"/>
  <c r="M10" i="4"/>
  <c r="L10" i="4"/>
  <c r="J10" i="4"/>
  <c r="I10" i="4"/>
  <c r="H10" i="4"/>
  <c r="G10" i="4"/>
  <c r="O9" i="4"/>
  <c r="N9" i="4"/>
  <c r="M9" i="4"/>
  <c r="L9" i="4"/>
  <c r="J9" i="4"/>
  <c r="I9" i="4"/>
  <c r="H9" i="4"/>
  <c r="G9" i="4"/>
  <c r="O8" i="4"/>
  <c r="N8" i="4"/>
  <c r="M8" i="4"/>
  <c r="L8" i="4"/>
  <c r="J8" i="4"/>
  <c r="I8" i="4"/>
  <c r="H8" i="4"/>
  <c r="G8" i="4"/>
  <c r="O7" i="4"/>
  <c r="N7" i="4"/>
  <c r="M7" i="4"/>
  <c r="L7" i="4"/>
  <c r="J7" i="4"/>
  <c r="I7" i="4"/>
  <c r="H7" i="4"/>
  <c r="G7" i="4"/>
  <c r="O6" i="4"/>
  <c r="N6" i="4"/>
  <c r="M6" i="4"/>
  <c r="L6" i="4"/>
  <c r="J6" i="4"/>
  <c r="I6" i="4"/>
  <c r="H6" i="4"/>
  <c r="G6" i="4"/>
  <c r="O5" i="4"/>
  <c r="N5" i="4"/>
  <c r="M5" i="4"/>
  <c r="L5" i="4"/>
  <c r="J5" i="4"/>
  <c r="I5" i="4"/>
  <c r="H5" i="4"/>
  <c r="G5" i="4"/>
  <c r="O4" i="4"/>
  <c r="N4" i="4"/>
  <c r="M4" i="4"/>
  <c r="L4" i="4"/>
  <c r="J4" i="4"/>
  <c r="I4" i="4"/>
  <c r="H4" i="4"/>
  <c r="G4" i="4"/>
  <c r="O3" i="4"/>
  <c r="N3" i="4"/>
  <c r="M3" i="4"/>
  <c r="L3" i="4"/>
  <c r="J3" i="4"/>
  <c r="I3" i="4"/>
  <c r="H3" i="4"/>
  <c r="G3" i="4"/>
  <c r="G67" i="4" s="1"/>
  <c r="I65" i="4" s="1"/>
  <c r="O2" i="4"/>
  <c r="N2" i="4"/>
  <c r="M2" i="4"/>
  <c r="L2" i="4"/>
  <c r="B18" i="5" l="1"/>
  <c r="I17" i="1"/>
  <c r="I15" i="1"/>
  <c r="I19" i="1" s="1"/>
  <c r="I20" i="1" s="1"/>
  <c r="I22" i="1" s="1"/>
  <c r="I24" i="1" s="1"/>
  <c r="P76" i="4"/>
  <c r="S76" i="4" s="1"/>
  <c r="P49" i="4"/>
  <c r="Q49" i="4" s="1"/>
  <c r="P100" i="4"/>
  <c r="R100" i="4" s="1"/>
  <c r="P62" i="4"/>
  <c r="S62" i="4" s="1"/>
  <c r="P15" i="4"/>
  <c r="R15" i="4" s="1"/>
  <c r="P40" i="4"/>
  <c r="S40" i="4" s="1"/>
  <c r="P51" i="4"/>
  <c r="Q51" i="4" s="1"/>
  <c r="P59" i="4"/>
  <c r="Q59" i="4" s="1"/>
  <c r="P67" i="4"/>
  <c r="S67" i="4" s="1"/>
  <c r="P7" i="4"/>
  <c r="R7" i="4" s="1"/>
  <c r="P8" i="4"/>
  <c r="T8" i="4" s="1"/>
  <c r="P9" i="4"/>
  <c r="R9" i="4" s="1"/>
  <c r="P13" i="4"/>
  <c r="R13" i="4" s="1"/>
  <c r="P82" i="4"/>
  <c r="S82" i="4" s="1"/>
  <c r="P35" i="4"/>
  <c r="S35" i="4" s="1"/>
  <c r="P53" i="4"/>
  <c r="Q53" i="4" s="1"/>
  <c r="P75" i="4"/>
  <c r="R75" i="4" s="1"/>
  <c r="P5" i="4"/>
  <c r="R5" i="4" s="1"/>
  <c r="P41" i="4"/>
  <c r="S41" i="4" s="1"/>
  <c r="P91" i="4"/>
  <c r="R91" i="4" s="1"/>
  <c r="P99" i="4"/>
  <c r="Q99" i="4" s="1"/>
  <c r="P16" i="4"/>
  <c r="T16" i="4" s="1"/>
  <c r="P25" i="4"/>
  <c r="R25" i="4" s="1"/>
  <c r="P68" i="4"/>
  <c r="Q68" i="4" s="1"/>
  <c r="P84" i="4"/>
  <c r="R84" i="4" s="1"/>
  <c r="P92" i="4"/>
  <c r="T92" i="4" s="1"/>
  <c r="P94" i="4"/>
  <c r="Q94" i="4" s="1"/>
  <c r="P98" i="4"/>
  <c r="Q98" i="4" s="1"/>
  <c r="P24" i="4"/>
  <c r="S24" i="4" s="1"/>
  <c r="P4" i="4"/>
  <c r="T4" i="4" s="1"/>
  <c r="P29" i="4"/>
  <c r="Q29" i="4" s="1"/>
  <c r="P38" i="4"/>
  <c r="S38" i="4" s="1"/>
  <c r="P83" i="4"/>
  <c r="R83" i="4" s="1"/>
  <c r="P78" i="4"/>
  <c r="S78" i="4" s="1"/>
  <c r="P48" i="4"/>
  <c r="S48" i="4" s="1"/>
  <c r="P56" i="4"/>
  <c r="T56" i="4" s="1"/>
  <c r="P17" i="4"/>
  <c r="S17" i="4" s="1"/>
  <c r="P19" i="4"/>
  <c r="Q19" i="4" s="1"/>
  <c r="P21" i="4"/>
  <c r="Q21" i="4" s="1"/>
  <c r="P85" i="4"/>
  <c r="Q85" i="4" s="1"/>
  <c r="H61" i="4"/>
  <c r="I60" i="4" s="1"/>
  <c r="I54" i="4"/>
  <c r="I56" i="4" s="1"/>
  <c r="I52" i="4"/>
  <c r="H67" i="4"/>
  <c r="I66" i="4" s="1"/>
  <c r="I61" i="4"/>
  <c r="I62" i="4"/>
  <c r="J61" i="4" s="1"/>
  <c r="P31" i="4"/>
  <c r="R31" i="4" s="1"/>
  <c r="P54" i="4"/>
  <c r="Q54" i="4" s="1"/>
  <c r="P69" i="4"/>
  <c r="S69" i="4" s="1"/>
  <c r="P101" i="4"/>
  <c r="S101" i="4" s="1"/>
  <c r="P6" i="4"/>
  <c r="T6" i="4" s="1"/>
  <c r="P89" i="4"/>
  <c r="Q89" i="4" s="1"/>
  <c r="P12" i="4"/>
  <c r="S12" i="4" s="1"/>
  <c r="P32" i="4"/>
  <c r="T32" i="4" s="1"/>
  <c r="G62" i="4"/>
  <c r="J59" i="4" s="1"/>
  <c r="P22" i="4"/>
  <c r="Q22" i="4" s="1"/>
  <c r="P42" i="4"/>
  <c r="Q42" i="4" s="1"/>
  <c r="P20" i="4"/>
  <c r="Q20" i="4" s="1"/>
  <c r="P23" i="4"/>
  <c r="P30" i="4"/>
  <c r="T30" i="4" s="1"/>
  <c r="P86" i="4"/>
  <c r="S86" i="4" s="1"/>
  <c r="J54" i="4"/>
  <c r="J56" i="4" s="1"/>
  <c r="J52" i="4"/>
  <c r="H62" i="4"/>
  <c r="J60" i="4" s="1"/>
  <c r="I68" i="4"/>
  <c r="J67" i="4" s="1"/>
  <c r="H68" i="4"/>
  <c r="J66" i="4" s="1"/>
  <c r="J62" i="4"/>
  <c r="P70" i="4"/>
  <c r="R70" i="4" s="1"/>
  <c r="P14" i="4"/>
  <c r="T14" i="4" s="1"/>
  <c r="P28" i="4"/>
  <c r="T28" i="4" s="1"/>
  <c r="P74" i="4"/>
  <c r="R74" i="4" s="1"/>
  <c r="P2" i="4"/>
  <c r="G66" i="4"/>
  <c r="H65" i="4" s="1"/>
  <c r="G61" i="4"/>
  <c r="I59" i="4" s="1"/>
  <c r="G68" i="4"/>
  <c r="J65" i="4" s="1"/>
  <c r="G54" i="4"/>
  <c r="G56" i="4" s="1"/>
  <c r="G52" i="4"/>
  <c r="G60" i="4"/>
  <c r="H59" i="4" s="1"/>
  <c r="G59" i="4"/>
  <c r="P3" i="4"/>
  <c r="P10" i="4"/>
  <c r="P11" i="4"/>
  <c r="Q11" i="4" s="1"/>
  <c r="P27" i="4"/>
  <c r="R27" i="4" s="1"/>
  <c r="P50" i="4"/>
  <c r="T50" i="4" s="1"/>
  <c r="P57" i="4"/>
  <c r="T57" i="4" s="1"/>
  <c r="P73" i="4"/>
  <c r="S73" i="4" s="1"/>
  <c r="P90" i="4"/>
  <c r="R90" i="4" s="1"/>
  <c r="P71" i="4"/>
  <c r="P80" i="4"/>
  <c r="Q80" i="4" s="1"/>
  <c r="P87" i="4"/>
  <c r="T87" i="4" s="1"/>
  <c r="P96" i="4"/>
  <c r="H60" i="4"/>
  <c r="H54" i="4"/>
  <c r="H56" i="4" s="1"/>
  <c r="H52" i="4"/>
  <c r="P18" i="4"/>
  <c r="S18" i="4" s="1"/>
  <c r="P33" i="4"/>
  <c r="S33" i="4" s="1"/>
  <c r="P37" i="4"/>
  <c r="Q37" i="4" s="1"/>
  <c r="P44" i="4"/>
  <c r="P60" i="4"/>
  <c r="R60" i="4" s="1"/>
  <c r="P36" i="4"/>
  <c r="Q36" i="4" s="1"/>
  <c r="P43" i="4"/>
  <c r="S43" i="4" s="1"/>
  <c r="P46" i="4"/>
  <c r="Q46" i="4" s="1"/>
  <c r="P52" i="4"/>
  <c r="T52" i="4" s="1"/>
  <c r="P61" i="4"/>
  <c r="T61" i="4" s="1"/>
  <c r="P79" i="4"/>
  <c r="T79" i="4" s="1"/>
  <c r="P95" i="4"/>
  <c r="S95" i="4" s="1"/>
  <c r="P45" i="4"/>
  <c r="T45" i="4" s="1"/>
  <c r="P64" i="4"/>
  <c r="Q64" i="4" s="1"/>
  <c r="P66" i="4"/>
  <c r="T66" i="4" s="1"/>
  <c r="P55" i="4"/>
  <c r="T55" i="4" s="1"/>
  <c r="P72" i="4"/>
  <c r="P88" i="4"/>
  <c r="P26" i="4"/>
  <c r="S26" i="4" s="1"/>
  <c r="P34" i="4"/>
  <c r="T34" i="4" s="1"/>
  <c r="P58" i="4"/>
  <c r="P77" i="4"/>
  <c r="Q77" i="4" s="1"/>
  <c r="P81" i="4"/>
  <c r="Q81" i="4" s="1"/>
  <c r="P93" i="4"/>
  <c r="Q93" i="4" s="1"/>
  <c r="P97" i="4"/>
  <c r="Q97" i="4" s="1"/>
  <c r="P47" i="4"/>
  <c r="P39" i="4"/>
  <c r="T39" i="4" s="1"/>
  <c r="P63" i="4"/>
  <c r="Q63" i="4" s="1"/>
  <c r="P65" i="4"/>
  <c r="S65" i="4" s="1"/>
  <c r="Q84" i="4" l="1"/>
  <c r="Q75" i="4"/>
  <c r="R76" i="4"/>
  <c r="T75" i="4"/>
  <c r="T84" i="4"/>
  <c r="T100" i="4"/>
  <c r="T76" i="4"/>
  <c r="S84" i="4"/>
  <c r="B19" i="5"/>
  <c r="B20" i="5" s="1"/>
  <c r="T49" i="4"/>
  <c r="Q76" i="4"/>
  <c r="T78" i="4"/>
  <c r="R92" i="4"/>
  <c r="S100" i="4"/>
  <c r="S49" i="4"/>
  <c r="Q100" i="4"/>
  <c r="T94" i="4"/>
  <c r="S94" i="4"/>
  <c r="S54" i="4"/>
  <c r="Q35" i="4"/>
  <c r="R98" i="4"/>
  <c r="S85" i="4"/>
  <c r="Q78" i="4"/>
  <c r="T5" i="4"/>
  <c r="R49" i="4"/>
  <c r="T51" i="4"/>
  <c r="T53" i="4"/>
  <c r="T38" i="4"/>
  <c r="T25" i="4"/>
  <c r="R35" i="4"/>
  <c r="R51" i="4"/>
  <c r="S16" i="4"/>
  <c r="S68" i="4"/>
  <c r="T91" i="4"/>
  <c r="Q5" i="4"/>
  <c r="Q48" i="4"/>
  <c r="R62" i="4"/>
  <c r="T62" i="4"/>
  <c r="Q62" i="4"/>
  <c r="T83" i="4"/>
  <c r="S83" i="4"/>
  <c r="Q91" i="4"/>
  <c r="Q8" i="4"/>
  <c r="R17" i="4"/>
  <c r="R53" i="4"/>
  <c r="T35" i="4"/>
  <c r="T9" i="4"/>
  <c r="Q56" i="4"/>
  <c r="S61" i="4"/>
  <c r="T82" i="4"/>
  <c r="T13" i="4"/>
  <c r="R56" i="4"/>
  <c r="S53" i="4"/>
  <c r="T15" i="4"/>
  <c r="S4" i="4"/>
  <c r="Q82" i="4"/>
  <c r="S91" i="4"/>
  <c r="Q17" i="4"/>
  <c r="T17" i="4"/>
  <c r="S98" i="4"/>
  <c r="R94" i="4"/>
  <c r="S56" i="4"/>
  <c r="T24" i="4"/>
  <c r="R48" i="4"/>
  <c r="S15" i="4"/>
  <c r="R38" i="4"/>
  <c r="S63" i="4"/>
  <c r="Q16" i="4"/>
  <c r="Q38" i="4"/>
  <c r="S51" i="4"/>
  <c r="R99" i="4"/>
  <c r="S99" i="4"/>
  <c r="R40" i="4"/>
  <c r="T98" i="4"/>
  <c r="Q15" i="4"/>
  <c r="T59" i="4"/>
  <c r="R45" i="4"/>
  <c r="Q43" i="4"/>
  <c r="S20" i="4"/>
  <c r="S29" i="4"/>
  <c r="Q4" i="4"/>
  <c r="R68" i="4"/>
  <c r="R4" i="4"/>
  <c r="T68" i="4"/>
  <c r="R29" i="4"/>
  <c r="S25" i="4"/>
  <c r="S75" i="4"/>
  <c r="S89" i="4"/>
  <c r="R82" i="4"/>
  <c r="T99" i="4"/>
  <c r="Q7" i="4"/>
  <c r="T29" i="4"/>
  <c r="R59" i="4"/>
  <c r="S7" i="4"/>
  <c r="Q40" i="4"/>
  <c r="T67" i="4"/>
  <c r="Q25" i="4"/>
  <c r="R67" i="4"/>
  <c r="T48" i="4"/>
  <c r="S59" i="4"/>
  <c r="T40" i="4"/>
  <c r="R24" i="4"/>
  <c r="T26" i="4"/>
  <c r="Q24" i="4"/>
  <c r="R46" i="4"/>
  <c r="T33" i="4"/>
  <c r="S97" i="4"/>
  <c r="T43" i="4"/>
  <c r="Q60" i="4"/>
  <c r="R36" i="4"/>
  <c r="Q41" i="4"/>
  <c r="Q9" i="4"/>
  <c r="Q13" i="4"/>
  <c r="R18" i="4"/>
  <c r="R16" i="4"/>
  <c r="Q92" i="4"/>
  <c r="R43" i="4"/>
  <c r="S92" i="4"/>
  <c r="T20" i="4"/>
  <c r="R41" i="4"/>
  <c r="S8" i="4"/>
  <c r="S9" i="4"/>
  <c r="S13" i="4"/>
  <c r="S81" i="4"/>
  <c r="T41" i="4"/>
  <c r="Q18" i="4"/>
  <c r="S36" i="4"/>
  <c r="T7" i="4"/>
  <c r="S5" i="4"/>
  <c r="R8" i="4"/>
  <c r="Q67" i="4"/>
  <c r="R19" i="4"/>
  <c r="Q83" i="4"/>
  <c r="S64" i="4"/>
  <c r="R6" i="4"/>
  <c r="T95" i="4"/>
  <c r="S6" i="4"/>
  <c r="T64" i="4"/>
  <c r="R64" i="4"/>
  <c r="S42" i="4"/>
  <c r="S77" i="4"/>
  <c r="R20" i="4"/>
  <c r="T19" i="4"/>
  <c r="T18" i="4"/>
  <c r="R21" i="4"/>
  <c r="R42" i="4"/>
  <c r="S28" i="4"/>
  <c r="R78" i="4"/>
  <c r="S19" i="4"/>
  <c r="Q65" i="4"/>
  <c r="T36" i="4"/>
  <c r="T65" i="4"/>
  <c r="R14" i="4"/>
  <c r="T47" i="4"/>
  <c r="S47" i="4"/>
  <c r="R47" i="4"/>
  <c r="S50" i="4"/>
  <c r="Q50" i="4"/>
  <c r="S88" i="4"/>
  <c r="T88" i="4"/>
  <c r="R88" i="4"/>
  <c r="S93" i="4"/>
  <c r="R57" i="4"/>
  <c r="Q57" i="4"/>
  <c r="S27" i="4"/>
  <c r="Q27" i="4"/>
  <c r="T2" i="4"/>
  <c r="R2" i="4"/>
  <c r="R58" i="4"/>
  <c r="T58" i="4"/>
  <c r="S58" i="4"/>
  <c r="S44" i="4"/>
  <c r="T44" i="4"/>
  <c r="S34" i="4"/>
  <c r="Q34" i="4"/>
  <c r="R34" i="4"/>
  <c r="Q86" i="4"/>
  <c r="T3" i="4"/>
  <c r="S3" i="4"/>
  <c r="R3" i="4"/>
  <c r="S31" i="4"/>
  <c r="T31" i="4"/>
  <c r="S30" i="4"/>
  <c r="T63" i="4"/>
  <c r="R63" i="4"/>
  <c r="S90" i="4"/>
  <c r="R66" i="4"/>
  <c r="Q26" i="4"/>
  <c r="R26" i="4"/>
  <c r="R52" i="4"/>
  <c r="Q52" i="4"/>
  <c r="Q33" i="4"/>
  <c r="S80" i="4"/>
  <c r="R80" i="4"/>
  <c r="T80" i="4"/>
  <c r="S57" i="4"/>
  <c r="Q2" i="4"/>
  <c r="S70" i="4"/>
  <c r="Q30" i="4"/>
  <c r="T42" i="4"/>
  <c r="S14" i="4"/>
  <c r="T89" i="4"/>
  <c r="R89" i="4"/>
  <c r="Q31" i="4"/>
  <c r="S21" i="4"/>
  <c r="T21" i="4"/>
  <c r="Q55" i="4"/>
  <c r="R55" i="4"/>
  <c r="Q32" i="4"/>
  <c r="S32" i="4"/>
  <c r="S55" i="4"/>
  <c r="Q47" i="4"/>
  <c r="Q44" i="4"/>
  <c r="Q69" i="4"/>
  <c r="T54" i="4"/>
  <c r="S96" i="4"/>
  <c r="R96" i="4"/>
  <c r="T96" i="4"/>
  <c r="T11" i="4"/>
  <c r="S11" i="4"/>
  <c r="R11" i="4"/>
  <c r="Q74" i="4"/>
  <c r="T27" i="4"/>
  <c r="S74" i="4"/>
  <c r="R86" i="4"/>
  <c r="R54" i="4"/>
  <c r="S52" i="4"/>
  <c r="Q66" i="4"/>
  <c r="Q45" i="4"/>
  <c r="S45" i="4"/>
  <c r="S60" i="4"/>
  <c r="T37" i="4"/>
  <c r="S37" i="4"/>
  <c r="Q96" i="4"/>
  <c r="Q70" i="4"/>
  <c r="T73" i="4"/>
  <c r="R73" i="4"/>
  <c r="T10" i="4"/>
  <c r="R10" i="4"/>
  <c r="R28" i="4"/>
  <c r="Q28" i="4"/>
  <c r="R65" i="4"/>
  <c r="T70" i="4"/>
  <c r="T101" i="4"/>
  <c r="R101" i="4"/>
  <c r="T93" i="4"/>
  <c r="R93" i="4"/>
  <c r="T69" i="4"/>
  <c r="R69" i="4"/>
  <c r="Q58" i="4"/>
  <c r="R95" i="4"/>
  <c r="Q95" i="4"/>
  <c r="T46" i="4"/>
  <c r="S46" i="4"/>
  <c r="R71" i="4"/>
  <c r="Q71" i="4"/>
  <c r="Q90" i="4"/>
  <c r="R50" i="4"/>
  <c r="R32" i="4"/>
  <c r="T81" i="4"/>
  <c r="R81" i="4"/>
  <c r="T74" i="4"/>
  <c r="S71" i="4"/>
  <c r="T86" i="4"/>
  <c r="S39" i="4"/>
  <c r="Q39" i="4"/>
  <c r="S72" i="4"/>
  <c r="T72" i="4"/>
  <c r="R72" i="4"/>
  <c r="R79" i="4"/>
  <c r="Q79" i="4"/>
  <c r="T90" i="4"/>
  <c r="R87" i="4"/>
  <c r="Q87" i="4"/>
  <c r="S66" i="4"/>
  <c r="Q73" i="4"/>
  <c r="R30" i="4"/>
  <c r="Q10" i="4"/>
  <c r="T60" i="4"/>
  <c r="T23" i="4"/>
  <c r="R23" i="4"/>
  <c r="S23" i="4"/>
  <c r="R22" i="4"/>
  <c r="S22" i="4"/>
  <c r="T22" i="4"/>
  <c r="R39" i="4"/>
  <c r="Q6" i="4"/>
  <c r="Q101" i="4"/>
  <c r="S10" i="4"/>
  <c r="S2" i="4"/>
  <c r="Q88" i="4"/>
  <c r="T97" i="4"/>
  <c r="R97" i="4"/>
  <c r="T77" i="4"/>
  <c r="R77" i="4"/>
  <c r="Q72" i="4"/>
  <c r="R61" i="4"/>
  <c r="S79" i="4"/>
  <c r="Q61" i="4"/>
  <c r="T71" i="4"/>
  <c r="S87" i="4"/>
  <c r="Q14" i="4"/>
  <c r="R44" i="4"/>
  <c r="Q23" i="4"/>
  <c r="T12" i="4"/>
  <c r="R12" i="4"/>
  <c r="Q12" i="4"/>
  <c r="Q3" i="4"/>
  <c r="R37" i="4"/>
  <c r="T85" i="4"/>
  <c r="R85" i="4"/>
  <c r="R33" i="4"/>
  <c r="U75" i="4" l="1"/>
  <c r="Y76" i="4" a="1"/>
  <c r="Y76" i="4" s="1"/>
  <c r="Y84" i="4" a="1"/>
  <c r="Y84" i="4" s="1"/>
  <c r="U76" i="4"/>
  <c r="U84" i="4"/>
  <c r="V76" i="4"/>
  <c r="V84" i="4"/>
  <c r="V49" i="4"/>
  <c r="V100" i="4"/>
  <c r="Y100" i="4" a="1"/>
  <c r="Y100" i="4" s="1"/>
  <c r="U94" i="4"/>
  <c r="U100" i="4"/>
  <c r="Y53" i="4" a="1"/>
  <c r="Y53" i="4" s="1"/>
  <c r="U98" i="4"/>
  <c r="U17" i="4"/>
  <c r="U5" i="4"/>
  <c r="Y35" i="4" a="1"/>
  <c r="Y35" i="4" s="1"/>
  <c r="V8" i="4"/>
  <c r="Y98" i="4" a="1"/>
  <c r="Y98" i="4" s="1"/>
  <c r="Y78" i="4" a="1"/>
  <c r="Y78" i="4" s="1"/>
  <c r="V98" i="4"/>
  <c r="U7" i="4"/>
  <c r="Y17" i="4" a="1"/>
  <c r="Y17" i="4" s="1"/>
  <c r="Y91" i="4" a="1"/>
  <c r="Y91" i="4" s="1"/>
  <c r="U49" i="4"/>
  <c r="Y49" i="4" a="1"/>
  <c r="Y49" i="4" s="1"/>
  <c r="U59" i="4"/>
  <c r="Y38" i="4" a="1"/>
  <c r="Y38" i="4" s="1"/>
  <c r="V4" i="4"/>
  <c r="Y68" i="4" a="1"/>
  <c r="Y68" i="4" s="1"/>
  <c r="U51" i="4"/>
  <c r="Y9" i="4" a="1"/>
  <c r="Y9" i="4" s="1"/>
  <c r="Y36" i="4" a="1"/>
  <c r="Y36" i="4" s="1"/>
  <c r="U53" i="4"/>
  <c r="V99" i="4"/>
  <c r="V35" i="4"/>
  <c r="U13" i="4"/>
  <c r="U8" i="4"/>
  <c r="V91" i="4"/>
  <c r="U83" i="4"/>
  <c r="V68" i="4"/>
  <c r="U19" i="4"/>
  <c r="Y51" i="4" a="1"/>
  <c r="Y51" i="4" s="1"/>
  <c r="U91" i="4"/>
  <c r="U36" i="4"/>
  <c r="V92" i="4"/>
  <c r="Y16" i="4" a="1"/>
  <c r="Y16" i="4" s="1"/>
  <c r="V78" i="4"/>
  <c r="U68" i="4"/>
  <c r="U43" i="4"/>
  <c r="U78" i="4"/>
  <c r="V94" i="4"/>
  <c r="Y41" i="4" a="1"/>
  <c r="Y41" i="4" s="1"/>
  <c r="V40" i="4"/>
  <c r="V20" i="4"/>
  <c r="U99" i="4"/>
  <c r="Y24" i="4" a="1"/>
  <c r="Y24" i="4" s="1"/>
  <c r="Y4" i="4" a="1"/>
  <c r="Y4" i="4" s="1"/>
  <c r="V9" i="4"/>
  <c r="Y62" i="4" a="1"/>
  <c r="Y62" i="4" s="1"/>
  <c r="U62" i="4"/>
  <c r="V75" i="4"/>
  <c r="Z75" i="4" s="1"/>
  <c r="V62" i="4"/>
  <c r="V51" i="4"/>
  <c r="U24" i="4"/>
  <c r="V24" i="4"/>
  <c r="V43" i="4"/>
  <c r="Y29" i="4" a="1"/>
  <c r="Y29" i="4" s="1"/>
  <c r="Y83" i="4" a="1"/>
  <c r="Y83" i="4" s="1"/>
  <c r="U41" i="4"/>
  <c r="Y8" i="4" a="1"/>
  <c r="Y8" i="4" s="1"/>
  <c r="V41" i="4"/>
  <c r="U35" i="4"/>
  <c r="V17" i="4"/>
  <c r="V48" i="4"/>
  <c r="Y82" i="4" a="1"/>
  <c r="Y82" i="4" s="1"/>
  <c r="U4" i="4"/>
  <c r="Y75" i="4" a="1"/>
  <c r="Y75" i="4" s="1"/>
  <c r="Y13" i="4" a="1"/>
  <c r="Y13" i="4" s="1"/>
  <c r="V7" i="4"/>
  <c r="Y25" i="4" a="1"/>
  <c r="Y25" i="4" s="1"/>
  <c r="Y43" i="4" a="1"/>
  <c r="Y43" i="4" s="1"/>
  <c r="Y56" i="4" a="1"/>
  <c r="Y56" i="4" s="1"/>
  <c r="V15" i="4"/>
  <c r="U9" i="4"/>
  <c r="U29" i="4"/>
  <c r="V38" i="4"/>
  <c r="V13" i="4"/>
  <c r="U48" i="4"/>
  <c r="V67" i="4"/>
  <c r="V19" i="4"/>
  <c r="V5" i="4"/>
  <c r="Y15" i="4" a="1"/>
  <c r="Y15" i="4" s="1"/>
  <c r="U25" i="4"/>
  <c r="V25" i="4"/>
  <c r="V82" i="4"/>
  <c r="Y19" i="4" a="1"/>
  <c r="Y19" i="4" s="1"/>
  <c r="Y37" i="4" a="1"/>
  <c r="Y37" i="4" s="1"/>
  <c r="Y5" i="4" a="1"/>
  <c r="Y5" i="4" s="1"/>
  <c r="Y7" i="4" a="1"/>
  <c r="Y7" i="4" s="1"/>
  <c r="U40" i="4"/>
  <c r="Y46" i="4" a="1"/>
  <c r="Y46" i="4" s="1"/>
  <c r="V16" i="4"/>
  <c r="Y94" i="4" a="1"/>
  <c r="Y94" i="4" s="1"/>
  <c r="V59" i="4"/>
  <c r="U82" i="4"/>
  <c r="U56" i="4"/>
  <c r="V29" i="4"/>
  <c r="Y40" i="4" a="1"/>
  <c r="Y40" i="4" s="1"/>
  <c r="U15" i="4"/>
  <c r="U16" i="4"/>
  <c r="Y54" i="4" a="1"/>
  <c r="Y54" i="4" s="1"/>
  <c r="Y59" i="4" a="1"/>
  <c r="Y59" i="4" s="1"/>
  <c r="U92" i="4"/>
  <c r="V56" i="4"/>
  <c r="U38" i="4"/>
  <c r="Y20" i="4" a="1"/>
  <c r="Y20" i="4" s="1"/>
  <c r="Y48" i="4" a="1"/>
  <c r="Y48" i="4" s="1"/>
  <c r="U18" i="4"/>
  <c r="V53" i="4"/>
  <c r="Y89" i="4" a="1"/>
  <c r="Y89" i="4" s="1"/>
  <c r="Y92" i="4" a="1"/>
  <c r="Y92" i="4" s="1"/>
  <c r="Y99" i="4" a="1"/>
  <c r="Y99" i="4" s="1"/>
  <c r="Y77" i="4" a="1"/>
  <c r="Y77" i="4" s="1"/>
  <c r="Y93" i="4" a="1"/>
  <c r="Y93" i="4" s="1"/>
  <c r="V97" i="4"/>
  <c r="U60" i="4"/>
  <c r="V18" i="4"/>
  <c r="U89" i="4"/>
  <c r="Y67" i="4" a="1"/>
  <c r="Y67" i="4" s="1"/>
  <c r="U20" i="4"/>
  <c r="Y18" i="4" a="1"/>
  <c r="Y18" i="4" s="1"/>
  <c r="Y85" i="4" a="1"/>
  <c r="Y85" i="4" s="1"/>
  <c r="V22" i="4"/>
  <c r="U67" i="4"/>
  <c r="Y81" i="4" a="1"/>
  <c r="Y81" i="4" s="1"/>
  <c r="V89" i="4"/>
  <c r="V83" i="4"/>
  <c r="U64" i="4"/>
  <c r="U42" i="4"/>
  <c r="V36" i="4"/>
  <c r="Y65" i="4" a="1"/>
  <c r="Y65" i="4" s="1"/>
  <c r="Y21" i="4" a="1"/>
  <c r="Y21" i="4" s="1"/>
  <c r="U63" i="4"/>
  <c r="V64" i="4"/>
  <c r="V11" i="4"/>
  <c r="Y64" i="4" a="1"/>
  <c r="Y64" i="4" s="1"/>
  <c r="Y80" i="4" a="1"/>
  <c r="Y80" i="4" s="1"/>
  <c r="U93" i="4"/>
  <c r="V85" i="4"/>
  <c r="V60" i="4"/>
  <c r="Y11" i="4" a="1"/>
  <c r="Y11" i="4" s="1"/>
  <c r="V28" i="4"/>
  <c r="U28" i="4"/>
  <c r="Y28" i="4" a="1"/>
  <c r="Y28" i="4" s="1"/>
  <c r="V42" i="4"/>
  <c r="Y2" i="4" a="1"/>
  <c r="Y2" i="4" s="1"/>
  <c r="V2" i="4"/>
  <c r="U2" i="4"/>
  <c r="V52" i="4"/>
  <c r="U52" i="4"/>
  <c r="Y52" i="4" a="1"/>
  <c r="Y52" i="4" s="1"/>
  <c r="U90" i="4"/>
  <c r="V90" i="4"/>
  <c r="Y90" i="4" a="1"/>
  <c r="Y90" i="4" s="1"/>
  <c r="Y22" i="4" a="1"/>
  <c r="Y22" i="4" s="1"/>
  <c r="Y101" i="4" a="1"/>
  <c r="Y101" i="4" s="1"/>
  <c r="V101" i="4"/>
  <c r="U101" i="4"/>
  <c r="V63" i="4"/>
  <c r="U85" i="4"/>
  <c r="U86" i="4"/>
  <c r="Y86" i="4" a="1"/>
  <c r="Y86" i="4" s="1"/>
  <c r="V86" i="4"/>
  <c r="U97" i="4"/>
  <c r="U65" i="4"/>
  <c r="U54" i="4"/>
  <c r="Y14" i="4" a="1"/>
  <c r="Y14" i="4" s="1"/>
  <c r="V14" i="4"/>
  <c r="U14" i="4"/>
  <c r="Y72" i="4" a="1"/>
  <c r="Y72" i="4" s="1"/>
  <c r="V72" i="4"/>
  <c r="U72" i="4"/>
  <c r="Y73" i="4" a="1"/>
  <c r="Y73" i="4" s="1"/>
  <c r="V73" i="4"/>
  <c r="U73" i="4"/>
  <c r="U79" i="4"/>
  <c r="Y79" i="4" a="1"/>
  <c r="Y79" i="4" s="1"/>
  <c r="V79" i="4"/>
  <c r="U71" i="4"/>
  <c r="Y71" i="4" a="1"/>
  <c r="Y71" i="4" s="1"/>
  <c r="V71" i="4"/>
  <c r="Y63" i="4" a="1"/>
  <c r="Y63" i="4" s="1"/>
  <c r="Y69" i="4" a="1"/>
  <c r="Y69" i="4" s="1"/>
  <c r="V69" i="4"/>
  <c r="U69" i="4"/>
  <c r="V44" i="4"/>
  <c r="U44" i="4"/>
  <c r="Y44" i="4" a="1"/>
  <c r="Y44" i="4" s="1"/>
  <c r="U55" i="4"/>
  <c r="V55" i="4"/>
  <c r="Y55" i="4" a="1"/>
  <c r="Y55" i="4" s="1"/>
  <c r="Y30" i="4" a="1"/>
  <c r="Y30" i="4" s="1"/>
  <c r="V30" i="4"/>
  <c r="U30" i="4"/>
  <c r="Y97" i="4" a="1"/>
  <c r="Y97" i="4" s="1"/>
  <c r="U57" i="4"/>
  <c r="Y57" i="4" a="1"/>
  <c r="Y57" i="4" s="1"/>
  <c r="V57" i="4"/>
  <c r="V65" i="4"/>
  <c r="Y60" i="4" a="1"/>
  <c r="Y60" i="4" s="1"/>
  <c r="U21" i="4"/>
  <c r="V54" i="4"/>
  <c r="V33" i="4"/>
  <c r="Y33" i="4" a="1"/>
  <c r="Y33" i="4" s="1"/>
  <c r="U33" i="4"/>
  <c r="V21" i="4"/>
  <c r="V81" i="4"/>
  <c r="U81" i="4"/>
  <c r="Y88" i="4" a="1"/>
  <c r="Y88" i="4" s="1"/>
  <c r="V88" i="4"/>
  <c r="U88" i="4"/>
  <c r="U70" i="4"/>
  <c r="Y70" i="4" a="1"/>
  <c r="Y70" i="4" s="1"/>
  <c r="V70" i="4"/>
  <c r="Y42" i="4" a="1"/>
  <c r="Y42" i="4" s="1"/>
  <c r="Y3" i="4" a="1"/>
  <c r="Y3" i="4" s="1"/>
  <c r="V3" i="4"/>
  <c r="U3" i="4"/>
  <c r="U37" i="4"/>
  <c r="U95" i="4"/>
  <c r="Y95" i="4" a="1"/>
  <c r="Y95" i="4" s="1"/>
  <c r="V95" i="4"/>
  <c r="Y96" i="4" a="1"/>
  <c r="Y96" i="4" s="1"/>
  <c r="V96" i="4"/>
  <c r="U96" i="4"/>
  <c r="Y45" i="4" a="1"/>
  <c r="Y45" i="4" s="1"/>
  <c r="V45" i="4"/>
  <c r="U45" i="4"/>
  <c r="Y47" i="4" a="1"/>
  <c r="Y47" i="4" s="1"/>
  <c r="V47" i="4"/>
  <c r="U47" i="4"/>
  <c r="V31" i="4"/>
  <c r="Y31" i="4" a="1"/>
  <c r="Y31" i="4" s="1"/>
  <c r="U31" i="4"/>
  <c r="V34" i="4"/>
  <c r="Y34" i="4" a="1"/>
  <c r="Y34" i="4" s="1"/>
  <c r="U34" i="4"/>
  <c r="U80" i="4"/>
  <c r="V77" i="4"/>
  <c r="V93" i="4"/>
  <c r="U46" i="4"/>
  <c r="Y61" i="4" a="1"/>
  <c r="Y61" i="4" s="1"/>
  <c r="U61" i="4"/>
  <c r="V61" i="4"/>
  <c r="U77" i="4"/>
  <c r="U50" i="4"/>
  <c r="Y50" i="4" a="1"/>
  <c r="Y50" i="4" s="1"/>
  <c r="V50" i="4"/>
  <c r="U12" i="4"/>
  <c r="Y12" i="4" a="1"/>
  <c r="Y12" i="4" s="1"/>
  <c r="V12" i="4"/>
  <c r="V37" i="4"/>
  <c r="U39" i="4"/>
  <c r="Y39" i="4" a="1"/>
  <c r="Y39" i="4" s="1"/>
  <c r="V39" i="4"/>
  <c r="U22" i="4"/>
  <c r="Y66" i="4" a="1"/>
  <c r="Y66" i="4" s="1"/>
  <c r="V66" i="4"/>
  <c r="U66" i="4"/>
  <c r="U74" i="4"/>
  <c r="V74" i="4"/>
  <c r="Y74" i="4" a="1"/>
  <c r="Y74" i="4" s="1"/>
  <c r="U26" i="4"/>
  <c r="Y26" i="4" a="1"/>
  <c r="Y26" i="4" s="1"/>
  <c r="V26" i="4"/>
  <c r="U11" i="4"/>
  <c r="V80" i="4"/>
  <c r="V46" i="4"/>
  <c r="Y58" i="4" a="1"/>
  <c r="Y58" i="4" s="1"/>
  <c r="V58" i="4"/>
  <c r="U58" i="4"/>
  <c r="Y6" i="4" a="1"/>
  <c r="Y6" i="4" s="1"/>
  <c r="V6" i="4"/>
  <c r="U6" i="4"/>
  <c r="U87" i="4"/>
  <c r="Y87" i="4" a="1"/>
  <c r="Y87" i="4" s="1"/>
  <c r="V87" i="4"/>
  <c r="V23" i="4"/>
  <c r="Y23" i="4" a="1"/>
  <c r="Y23" i="4" s="1"/>
  <c r="U23" i="4"/>
  <c r="Y10" i="4" a="1"/>
  <c r="Y10" i="4" s="1"/>
  <c r="V10" i="4"/>
  <c r="U10" i="4"/>
  <c r="U32" i="4"/>
  <c r="Y32" i="4" a="1"/>
  <c r="Y32" i="4" s="1"/>
  <c r="V32" i="4"/>
  <c r="V27" i="4"/>
  <c r="Y27" i="4" a="1"/>
  <c r="Y27" i="4" s="1"/>
  <c r="U27" i="4"/>
  <c r="BI58" i="3"/>
  <c r="BS58" i="3" s="1"/>
  <c r="BI57" i="3"/>
  <c r="BO57" i="3" s="1"/>
  <c r="BI56" i="3"/>
  <c r="BS56" i="3" s="1"/>
  <c r="BI55" i="3"/>
  <c r="BS55" i="3" s="1"/>
  <c r="BI54" i="3"/>
  <c r="BS54" i="3" s="1"/>
  <c r="BI53" i="3"/>
  <c r="BO53" i="3" s="1"/>
  <c r="BI52" i="3"/>
  <c r="BS52" i="3" s="1"/>
  <c r="BI51" i="3"/>
  <c r="BS51" i="3" s="1"/>
  <c r="BI50" i="3"/>
  <c r="BS50" i="3" s="1"/>
  <c r="BI49" i="3"/>
  <c r="BS49" i="3" s="1"/>
  <c r="BI48" i="3"/>
  <c r="BS48" i="3" s="1"/>
  <c r="BI47" i="3"/>
  <c r="BS47" i="3" s="1"/>
  <c r="BI46" i="3"/>
  <c r="BS46" i="3" s="1"/>
  <c r="BI45" i="3"/>
  <c r="BS45" i="3" s="1"/>
  <c r="BI44" i="3"/>
  <c r="BS44" i="3" s="1"/>
  <c r="BI43" i="3"/>
  <c r="BS43" i="3" s="1"/>
  <c r="BI42" i="3"/>
  <c r="BS42" i="3" s="1"/>
  <c r="BI41" i="3"/>
  <c r="BS41" i="3" s="1"/>
  <c r="BI40" i="3"/>
  <c r="BS40" i="3" s="1"/>
  <c r="BI39" i="3"/>
  <c r="BK39" i="3" s="1"/>
  <c r="BI38" i="3"/>
  <c r="BS38" i="3" s="1"/>
  <c r="BI37" i="3"/>
  <c r="BO37" i="3" s="1"/>
  <c r="BI36" i="3"/>
  <c r="BS36" i="3" s="1"/>
  <c r="BI35" i="3"/>
  <c r="BS35" i="3" s="1"/>
  <c r="BI34" i="3"/>
  <c r="BS34" i="3" s="1"/>
  <c r="BI33" i="3"/>
  <c r="BS33" i="3" s="1"/>
  <c r="BI32" i="3"/>
  <c r="BS32" i="3" s="1"/>
  <c r="BI31" i="3"/>
  <c r="BK31" i="3" s="1"/>
  <c r="BI30" i="3"/>
  <c r="BS30" i="3" s="1"/>
  <c r="BI29" i="3"/>
  <c r="BS29" i="3" s="1"/>
  <c r="BI28" i="3"/>
  <c r="BS28" i="3" s="1"/>
  <c r="BI27" i="3"/>
  <c r="BO27" i="3" s="1"/>
  <c r="BI26" i="3"/>
  <c r="BS26" i="3" s="1"/>
  <c r="BI25" i="3"/>
  <c r="BK25" i="3" s="1"/>
  <c r="BI24" i="3"/>
  <c r="BS24" i="3" s="1"/>
  <c r="BI23" i="3"/>
  <c r="BS23" i="3" s="1"/>
  <c r="BI22" i="3"/>
  <c r="BS22" i="3" s="1"/>
  <c r="BI21" i="3"/>
  <c r="BS21" i="3" s="1"/>
  <c r="BI20" i="3"/>
  <c r="BS20" i="3" s="1"/>
  <c r="BI19" i="3"/>
  <c r="BO19" i="3" s="1"/>
  <c r="BI18" i="3"/>
  <c r="BS18" i="3" s="1"/>
  <c r="BI17" i="3"/>
  <c r="BK17" i="3" s="1"/>
  <c r="BI16" i="3"/>
  <c r="BS16" i="3" s="1"/>
  <c r="B15" i="3"/>
  <c r="BI15" i="3" s="1"/>
  <c r="BS15" i="3" s="1"/>
  <c r="BI14" i="3"/>
  <c r="BS14" i="3" s="1"/>
  <c r="BS13" i="3"/>
  <c r="BI13" i="3"/>
  <c r="BO13" i="3" s="1"/>
  <c r="BI12" i="3"/>
  <c r="BI11" i="3"/>
  <c r="BI10" i="3"/>
  <c r="BI9" i="3"/>
  <c r="BI8" i="3"/>
  <c r="BI7" i="3"/>
  <c r="BI6" i="3"/>
  <c r="BI5" i="3"/>
  <c r="J8" i="2"/>
  <c r="H8" i="2"/>
  <c r="G8" i="2"/>
  <c r="F8" i="2"/>
  <c r="H9" i="2" s="1"/>
  <c r="G9" i="2" s="1"/>
  <c r="H7" i="2"/>
  <c r="G7" i="2"/>
  <c r="D4" i="2"/>
  <c r="C4" i="2" s="1"/>
  <c r="B4" i="2" s="1"/>
  <c r="D5" i="2" s="1"/>
  <c r="C5" i="2" s="1"/>
  <c r="Z76" i="4" l="1"/>
  <c r="Z84" i="4"/>
  <c r="Z16" i="4"/>
  <c r="Z94" i="4"/>
  <c r="Z49" i="4"/>
  <c r="Z100" i="4"/>
  <c r="Z17" i="4"/>
  <c r="Z98" i="4"/>
  <c r="Z5" i="4"/>
  <c r="Z8" i="4"/>
  <c r="Z51" i="4"/>
  <c r="Z83" i="4"/>
  <c r="Z68" i="4"/>
  <c r="Z7" i="4"/>
  <c r="Z99" i="4"/>
  <c r="Z59" i="4"/>
  <c r="Z35" i="4"/>
  <c r="Z4" i="4"/>
  <c r="Z53" i="4"/>
  <c r="Z43" i="4"/>
  <c r="Z78" i="4"/>
  <c r="Z19" i="4"/>
  <c r="Z41" i="4"/>
  <c r="Z13" i="4"/>
  <c r="Z62" i="4"/>
  <c r="Z91" i="4"/>
  <c r="Z24" i="4"/>
  <c r="Z11" i="4"/>
  <c r="Z31" i="4"/>
  <c r="Z15" i="4"/>
  <c r="Z48" i="4"/>
  <c r="Z20" i="4"/>
  <c r="Z36" i="4"/>
  <c r="Z40" i="4"/>
  <c r="Z9" i="4"/>
  <c r="Z92" i="4"/>
  <c r="Z38" i="4"/>
  <c r="Z96" i="4"/>
  <c r="Z82" i="4"/>
  <c r="Z97" i="4"/>
  <c r="Z18" i="4"/>
  <c r="Z10" i="4"/>
  <c r="Z88" i="4"/>
  <c r="Z44" i="4"/>
  <c r="Z29" i="4"/>
  <c r="Z89" i="4"/>
  <c r="Z60" i="4"/>
  <c r="Z2" i="4"/>
  <c r="Z67" i="4"/>
  <c r="Z56" i="4"/>
  <c r="Z22" i="4"/>
  <c r="Z90" i="4"/>
  <c r="Z73" i="4"/>
  <c r="Z93" i="4"/>
  <c r="Z25" i="4"/>
  <c r="Z58" i="4"/>
  <c r="Z52" i="4"/>
  <c r="Z95" i="4"/>
  <c r="Z70" i="4"/>
  <c r="Z57" i="4"/>
  <c r="Z72" i="4"/>
  <c r="Z37" i="4"/>
  <c r="Z27" i="4"/>
  <c r="Z21" i="4"/>
  <c r="Z42" i="4"/>
  <c r="Z79" i="4"/>
  <c r="Z86" i="4"/>
  <c r="Z39" i="4"/>
  <c r="Z50" i="4"/>
  <c r="Z47" i="4"/>
  <c r="Z63" i="4"/>
  <c r="Z71" i="4"/>
  <c r="Z54" i="4"/>
  <c r="Z64" i="4"/>
  <c r="Z32" i="4"/>
  <c r="Z87" i="4"/>
  <c r="Z74" i="4"/>
  <c r="Z85" i="4"/>
  <c r="Z45" i="4"/>
  <c r="Z12" i="4"/>
  <c r="Z23" i="4"/>
  <c r="Z3" i="4"/>
  <c r="Z30" i="4"/>
  <c r="Z46" i="4"/>
  <c r="Z101" i="4"/>
  <c r="Z81" i="4"/>
  <c r="Z69" i="4"/>
  <c r="Z28" i="4"/>
  <c r="Z77" i="4"/>
  <c r="Z80" i="4"/>
  <c r="Z6" i="4"/>
  <c r="Z66" i="4"/>
  <c r="Z34" i="4"/>
  <c r="Z33" i="4"/>
  <c r="Z55" i="4"/>
  <c r="Z65" i="4"/>
  <c r="Z26" i="4"/>
  <c r="Z61" i="4"/>
  <c r="Z14" i="4"/>
  <c r="BO21" i="3"/>
  <c r="BO29" i="3"/>
  <c r="BO39" i="3"/>
  <c r="BO55" i="3"/>
  <c r="BS17" i="3"/>
  <c r="BU13" i="3" s="1"/>
  <c r="BS37" i="3"/>
  <c r="BS57" i="3"/>
  <c r="BK19" i="3"/>
  <c r="BK23" i="3"/>
  <c r="BK29" i="3"/>
  <c r="BK33" i="3"/>
  <c r="BK37" i="3"/>
  <c r="BK43" i="3"/>
  <c r="BK45" i="3"/>
  <c r="BK49" i="3"/>
  <c r="BK53" i="3"/>
  <c r="BK55" i="3"/>
  <c r="BO15" i="3"/>
  <c r="BO23" i="3"/>
  <c r="BO31" i="3"/>
  <c r="BO35" i="3"/>
  <c r="BO43" i="3"/>
  <c r="BO45" i="3"/>
  <c r="BO47" i="3"/>
  <c r="BO49" i="3"/>
  <c r="BO51" i="3"/>
  <c r="BS25" i="3"/>
  <c r="BS53" i="3"/>
  <c r="BK14" i="3"/>
  <c r="BK13" i="3"/>
  <c r="BO14" i="3"/>
  <c r="BQ13" i="3" s="1"/>
  <c r="BK16" i="3"/>
  <c r="BK18" i="3"/>
  <c r="BK20" i="3"/>
  <c r="BK22" i="3"/>
  <c r="BK24" i="3"/>
  <c r="BK26" i="3"/>
  <c r="BK28" i="3"/>
  <c r="BK30" i="3"/>
  <c r="BK32" i="3"/>
  <c r="BK34" i="3"/>
  <c r="BK36" i="3"/>
  <c r="BK38" i="3"/>
  <c r="BK40" i="3"/>
  <c r="BK42" i="3"/>
  <c r="BK44" i="3"/>
  <c r="BK46" i="3"/>
  <c r="BK48" i="3"/>
  <c r="BK50" i="3"/>
  <c r="BK52" i="3"/>
  <c r="BK54" i="3"/>
  <c r="BK56" i="3"/>
  <c r="BK58" i="3"/>
  <c r="BK15" i="3"/>
  <c r="BK21" i="3"/>
  <c r="BK27" i="3"/>
  <c r="BK35" i="3"/>
  <c r="BK41" i="3"/>
  <c r="BK47" i="3"/>
  <c r="BK57" i="3"/>
  <c r="BO17" i="3"/>
  <c r="BO25" i="3"/>
  <c r="BO33" i="3"/>
  <c r="BO41" i="3"/>
  <c r="BS19" i="3"/>
  <c r="BS27" i="3"/>
  <c r="BS31" i="3"/>
  <c r="BS39" i="3"/>
  <c r="BO16" i="3"/>
  <c r="BO18" i="3"/>
  <c r="BO20" i="3"/>
  <c r="BO22" i="3"/>
  <c r="BO24" i="3"/>
  <c r="BO26" i="3"/>
  <c r="BO28" i="3"/>
  <c r="BO30" i="3"/>
  <c r="BO32" i="3"/>
  <c r="BO34" i="3"/>
  <c r="BO36" i="3"/>
  <c r="BO38" i="3"/>
  <c r="BO40" i="3"/>
  <c r="BO42" i="3"/>
  <c r="BO44" i="3"/>
  <c r="BO46" i="3"/>
  <c r="BO48" i="3"/>
  <c r="BO50" i="3"/>
  <c r="BO52" i="3"/>
  <c r="BO54" i="3"/>
  <c r="BO56" i="3"/>
  <c r="BO58" i="3"/>
  <c r="BK51" i="3"/>
  <c r="F9" i="2"/>
  <c r="B5" i="2"/>
  <c r="J9" i="2"/>
  <c r="BM13" i="3" l="1"/>
  <c r="D6" i="2"/>
  <c r="C6" i="2" s="1"/>
  <c r="B6" i="2" s="1"/>
  <c r="J10" i="2"/>
  <c r="H10" i="2"/>
  <c r="G10" i="2" s="1"/>
  <c r="F10" i="2" s="1"/>
  <c r="H11" i="2" l="1"/>
  <c r="G11" i="2" s="1"/>
  <c r="F11" i="2" s="1"/>
  <c r="D7" i="2"/>
  <c r="C7" i="2" s="1"/>
  <c r="B7" i="2" s="1"/>
  <c r="J11" i="2"/>
  <c r="H12" i="2" l="1"/>
  <c r="G12" i="2" s="1"/>
  <c r="F12" i="2" s="1"/>
  <c r="J12" i="2"/>
  <c r="L7" i="2"/>
  <c r="D8" i="2"/>
  <c r="C8" i="2" s="1"/>
  <c r="B8" i="2" s="1"/>
  <c r="H13" i="2" l="1"/>
  <c r="G13" i="2" s="1"/>
  <c r="F13" i="2"/>
  <c r="D9" i="2"/>
  <c r="C9" i="2" s="1"/>
  <c r="B9" i="2" s="1"/>
  <c r="L8" i="2"/>
  <c r="J13" i="2"/>
  <c r="D10" i="2" l="1"/>
  <c r="C10" i="2" s="1"/>
  <c r="B10" i="2"/>
  <c r="L9" i="2"/>
  <c r="J14" i="2"/>
  <c r="H14" i="2"/>
  <c r="G14" i="2" s="1"/>
  <c r="F14" i="2" s="1"/>
  <c r="H15" i="2" l="1"/>
  <c r="G15" i="2" s="1"/>
  <c r="F15" i="2"/>
  <c r="J15" i="2"/>
  <c r="D11" i="2"/>
  <c r="C11" i="2" s="1"/>
  <c r="B11" i="2" s="1"/>
  <c r="L10" i="2"/>
  <c r="D12" i="2" l="1"/>
  <c r="C12" i="2" s="1"/>
  <c r="B12" i="2" s="1"/>
  <c r="L11" i="2"/>
  <c r="J16" i="2"/>
  <c r="H16" i="2"/>
  <c r="G16" i="2" s="1"/>
  <c r="F16" i="2" s="1"/>
  <c r="H17" i="2" l="1"/>
  <c r="G17" i="2" s="1"/>
  <c r="F17" i="2"/>
  <c r="D13" i="2"/>
  <c r="C13" i="2" s="1"/>
  <c r="B13" i="2" s="1"/>
  <c r="L12" i="2"/>
  <c r="J17" i="2"/>
  <c r="J18" i="2" l="1"/>
  <c r="D14" i="2"/>
  <c r="C14" i="2" s="1"/>
  <c r="B14" i="2"/>
  <c r="L13" i="2"/>
  <c r="H18" i="2"/>
  <c r="G18" i="2" s="1"/>
  <c r="F18" i="2" s="1"/>
  <c r="H19" i="2" l="1"/>
  <c r="G19" i="2" s="1"/>
  <c r="F19" i="2"/>
  <c r="D15" i="2"/>
  <c r="C15" i="2" s="1"/>
  <c r="B15" i="2"/>
  <c r="L14" i="2"/>
  <c r="J19" i="2"/>
  <c r="J20" i="2" l="1"/>
  <c r="D16" i="2"/>
  <c r="C16" i="2" s="1"/>
  <c r="B16" i="2" s="1"/>
  <c r="L15" i="2"/>
  <c r="H20" i="2"/>
  <c r="G20" i="2" s="1"/>
  <c r="F20" i="2" s="1"/>
  <c r="H21" i="2" l="1"/>
  <c r="G21" i="2" s="1"/>
  <c r="F21" i="2"/>
  <c r="D17" i="2"/>
  <c r="C17" i="2" s="1"/>
  <c r="B17" i="2"/>
  <c r="L16" i="2"/>
  <c r="J21" i="2"/>
  <c r="J22" i="2" l="1"/>
  <c r="D18" i="2"/>
  <c r="C18" i="2" s="1"/>
  <c r="B18" i="2"/>
  <c r="L17" i="2"/>
  <c r="H22" i="2"/>
  <c r="G22" i="2" s="1"/>
  <c r="F22" i="2" s="1"/>
  <c r="H23" i="2" l="1"/>
  <c r="G23" i="2" s="1"/>
  <c r="F23" i="2" s="1"/>
  <c r="D19" i="2"/>
  <c r="C19" i="2" s="1"/>
  <c r="B19" i="2"/>
  <c r="L18" i="2"/>
  <c r="J23" i="2"/>
  <c r="H24" i="2" l="1"/>
  <c r="G24" i="2" s="1"/>
  <c r="F24" i="2"/>
  <c r="J24" i="2"/>
  <c r="D20" i="2"/>
  <c r="C20" i="2" s="1"/>
  <c r="B20" i="2"/>
  <c r="L19" i="2"/>
  <c r="D21" i="2" l="1"/>
  <c r="C21" i="2" s="1"/>
  <c r="B21" i="2" s="1"/>
  <c r="L20" i="2"/>
  <c r="J25" i="2"/>
  <c r="H25" i="2"/>
  <c r="G25" i="2" s="1"/>
  <c r="F25" i="2" s="1"/>
  <c r="H26" i="2" l="1"/>
  <c r="G26" i="2" s="1"/>
  <c r="F26" i="2" s="1"/>
  <c r="D22" i="2"/>
  <c r="C22" i="2" s="1"/>
  <c r="B22" i="2"/>
  <c r="L21" i="2"/>
  <c r="J26" i="2"/>
  <c r="H27" i="2" l="1"/>
  <c r="G27" i="2" s="1"/>
  <c r="F27" i="2"/>
  <c r="J27" i="2"/>
  <c r="D23" i="2"/>
  <c r="C23" i="2" s="1"/>
  <c r="B23" i="2"/>
  <c r="L22" i="2"/>
  <c r="D24" i="2" l="1"/>
  <c r="C24" i="2" s="1"/>
  <c r="B24" i="2"/>
  <c r="L23" i="2"/>
  <c r="D25" i="2" l="1"/>
  <c r="C25" i="2" s="1"/>
  <c r="B25" i="2" s="1"/>
  <c r="L24" i="2"/>
  <c r="D26" i="2" l="1"/>
  <c r="C26" i="2" s="1"/>
  <c r="B26" i="2"/>
  <c r="L25" i="2"/>
  <c r="D27" i="2" l="1"/>
  <c r="C27" i="2" s="1"/>
  <c r="B27" i="2" s="1"/>
  <c r="L27" i="2" s="1"/>
  <c r="L26" i="2"/>
</calcChain>
</file>

<file path=xl/sharedStrings.xml><?xml version="1.0" encoding="utf-8"?>
<sst xmlns="http://schemas.openxmlformats.org/spreadsheetml/2006/main" count="350" uniqueCount="227">
  <si>
    <t>Capital</t>
  </si>
  <si>
    <t>Interets (4.5%)</t>
  </si>
  <si>
    <t>Fessenheim 1</t>
  </si>
  <si>
    <t>Fessenheim 2</t>
  </si>
  <si>
    <t>Bugey 2</t>
  </si>
  <si>
    <t>Bugey 3</t>
  </si>
  <si>
    <t>Bugey 4</t>
  </si>
  <si>
    <t>Bugey 5</t>
  </si>
  <si>
    <t>Dampierre 1</t>
  </si>
  <si>
    <t>Gravelines 1</t>
  </si>
  <si>
    <t>Gravelines 2</t>
  </si>
  <si>
    <t>Gravelines 3</t>
  </si>
  <si>
    <t>Saint Laurent 1</t>
  </si>
  <si>
    <t>Tricastin 1</t>
  </si>
  <si>
    <t>Tricastin 2</t>
  </si>
  <si>
    <t>Tricastin 3</t>
  </si>
  <si>
    <t>Blayais 1</t>
  </si>
  <si>
    <t>Dampierre 2</t>
  </si>
  <si>
    <t>Dampierre 3</t>
  </si>
  <si>
    <t>Dampierre 4</t>
  </si>
  <si>
    <t>Gravelines 4</t>
  </si>
  <si>
    <t>Saint Laurent 2</t>
  </si>
  <si>
    <t>Tricastin 4</t>
  </si>
  <si>
    <t>Blayais 2</t>
  </si>
  <si>
    <t>Chinon 1</t>
  </si>
  <si>
    <t>Blayais 3</t>
  </si>
  <si>
    <t>Blayais 4</t>
  </si>
  <si>
    <t>Chinon 2</t>
  </si>
  <si>
    <t>Cruas-Meysse 1</t>
  </si>
  <si>
    <t>Cruas-Meysse 2</t>
  </si>
  <si>
    <t>Cruas-Meysse 3</t>
  </si>
  <si>
    <t>Cruas-Meysse 4</t>
  </si>
  <si>
    <t>Gravelines 5</t>
  </si>
  <si>
    <t>Paluel 1</t>
  </si>
  <si>
    <t>Paluel 2</t>
  </si>
  <si>
    <t>Flamanville 1</t>
  </si>
  <si>
    <t>Gravelines 6</t>
  </si>
  <si>
    <t>Paluel 3</t>
  </si>
  <si>
    <t>St Alban 1</t>
  </si>
  <si>
    <t>Cattenom 1</t>
  </si>
  <si>
    <t>Chinon 3</t>
  </si>
  <si>
    <t>Flamanville 2</t>
  </si>
  <si>
    <t>Paluel 4</t>
  </si>
  <si>
    <t>St Alban 2</t>
  </si>
  <si>
    <t>Belleville 1</t>
  </si>
  <si>
    <t>Cattenom 2</t>
  </si>
  <si>
    <t>Chinon 4</t>
  </si>
  <si>
    <t>Nogent 1</t>
  </si>
  <si>
    <t>Nogent 2</t>
  </si>
  <si>
    <t>Cattenom 3</t>
  </si>
  <si>
    <t>Golfech 1</t>
  </si>
  <si>
    <t>Penly 1</t>
  </si>
  <si>
    <t>Cattenom 4</t>
  </si>
  <si>
    <t>Penly 2</t>
  </si>
  <si>
    <t>Golfech 2</t>
  </si>
  <si>
    <t>Chooz B 1</t>
  </si>
  <si>
    <t>Chooz B 2</t>
  </si>
  <si>
    <t>Civeau 1</t>
  </si>
  <si>
    <t>Civeau 2</t>
  </si>
  <si>
    <t>Coût total (euros 2024)</t>
  </si>
  <si>
    <t>Coût total actualisé (euros 2024)</t>
  </si>
  <si>
    <t>Somme coût totaux actualisé</t>
  </si>
  <si>
    <t>Q3</t>
  </si>
  <si>
    <t>Mise en service</t>
  </si>
  <si>
    <t>INV (26 milliards)</t>
  </si>
  <si>
    <t>TRI</t>
  </si>
  <si>
    <t>van</t>
  </si>
  <si>
    <t>MWh</t>
  </si>
  <si>
    <t>KWh</t>
  </si>
  <si>
    <t>Cout démantellement</t>
  </si>
  <si>
    <t>Production (Quantité)</t>
  </si>
  <si>
    <t>Période de démantellement</t>
  </si>
  <si>
    <t>2085-2105</t>
  </si>
  <si>
    <t>2087-2107</t>
  </si>
  <si>
    <t>Coût de production</t>
  </si>
  <si>
    <t>Valeur actualisée  en 2084</t>
  </si>
  <si>
    <t>Valeur actualisée  en 2086</t>
  </si>
  <si>
    <t>Coût d’acheminement</t>
  </si>
  <si>
    <t>Valeur actualisée  en 2024</t>
  </si>
  <si>
    <t>Prix</t>
  </si>
  <si>
    <t>Coût construction</t>
  </si>
  <si>
    <t>Période de construction</t>
  </si>
  <si>
    <t>2025-2035</t>
  </si>
  <si>
    <t>2027-2037</t>
  </si>
  <si>
    <t>2037-2047</t>
  </si>
  <si>
    <t>Profit</t>
  </si>
  <si>
    <t>Coût construction total par projet</t>
  </si>
  <si>
    <t>Coût construction par an par projet</t>
  </si>
  <si>
    <t>Valeur actualisée  en 2026</t>
  </si>
  <si>
    <t>Coût total en 2024</t>
  </si>
  <si>
    <t>Profits par an nécessaire</t>
  </si>
  <si>
    <t>Période</t>
  </si>
  <si>
    <t>50 ans</t>
  </si>
  <si>
    <t>Annuités en euros de 2024</t>
  </si>
  <si>
    <t>Annuités en euros de 2035</t>
  </si>
  <si>
    <t>Annuités en euros de 2037</t>
  </si>
  <si>
    <t>2089-2109</t>
  </si>
  <si>
    <t>2091-2111</t>
  </si>
  <si>
    <t>2097-2117</t>
  </si>
  <si>
    <t>Valeur actualisée  en 2088</t>
  </si>
  <si>
    <t>Valeur actualisée  en 2090</t>
  </si>
  <si>
    <t>2029-2039</t>
  </si>
  <si>
    <t>2031-2041</t>
  </si>
  <si>
    <t>Valeur actualisée  en 2028</t>
  </si>
  <si>
    <t>Valeur actualisée  en 2030</t>
  </si>
  <si>
    <t>Annuités en euros de 2039</t>
  </si>
  <si>
    <t>Annuités en euros de 2041</t>
  </si>
  <si>
    <t>2093-2113</t>
  </si>
  <si>
    <t>Valeur actualisée  en 2098</t>
  </si>
  <si>
    <t>2033-2043</t>
  </si>
  <si>
    <t>Valeur actualisée  en 2038</t>
  </si>
  <si>
    <t>Valeur actualisée  en 2036</t>
  </si>
  <si>
    <t>Annuités en euros de 2049</t>
  </si>
  <si>
    <t>Annuités en euros de 2047</t>
  </si>
  <si>
    <t>2099-2119</t>
  </si>
  <si>
    <t>2039-2049</t>
  </si>
  <si>
    <t>I. Évaluation des Provisions pour le Démantèlement du Parc Nucléaire</t>
  </si>
  <si>
    <t>II. Modèle de Profitabilité d'un Réacteur EPR</t>
  </si>
  <si>
    <t>Scénario A : Horizon de Référence (Démantèlement 2085)</t>
  </si>
  <si>
    <t>Scénario B : Analyse avec Décalage (Démantèlement 2087)</t>
  </si>
  <si>
    <t>Scénario C : Analyse de Sensibilité (Démantèlement 2089)</t>
  </si>
  <si>
    <t>Scénario D : Modélisation de Long Terme (Démantèlement 2091)</t>
  </si>
  <si>
    <t>Scénario E : Étude Prospective (Démantèlement 2093)</t>
  </si>
  <si>
    <t>Scénario F : Simulation de Fin de Vie (Démantèlement 2095)</t>
  </si>
  <si>
    <t>Scénario G : Synthèse des Coûts de Cycle de Vie (Démantèlement 2097)</t>
  </si>
  <si>
    <t>Taux de Rendements (r)</t>
  </si>
  <si>
    <t>Rendement brut (Alimentation )</t>
  </si>
  <si>
    <t>Rendement brut (Agriculture)</t>
  </si>
  <si>
    <t>Rendement brut (Jouet)</t>
  </si>
  <si>
    <t>Rendement brut (Marché)</t>
  </si>
  <si>
    <t>Unités allouées (Alimentation)</t>
  </si>
  <si>
    <t>Unités allouées (Agriculture)</t>
  </si>
  <si>
    <t>Unités allouées (Jouet)</t>
  </si>
  <si>
    <t>Unités allouées (Marché)</t>
  </si>
  <si>
    <t>Total des unités</t>
  </si>
  <si>
    <t>Poids portefeuille w1 (%)</t>
  </si>
  <si>
    <t>Poids portefeuille w2 (%)</t>
  </si>
  <si>
    <t>Poids portefeuille w3 (%)</t>
  </si>
  <si>
    <t>Poids portefeuille w4 (%)</t>
  </si>
  <si>
    <t>Contrôle d'intégrité (Somme = 1)</t>
  </si>
  <si>
    <t>Contrôle d'intégrité</t>
  </si>
  <si>
    <t>variance</t>
  </si>
  <si>
    <t xml:space="preserve">espérance </t>
  </si>
  <si>
    <t>Annnée</t>
  </si>
  <si>
    <t>Alimentation</t>
  </si>
  <si>
    <t>Agriculture</t>
  </si>
  <si>
    <t>Jouet</t>
  </si>
  <si>
    <t>Marché</t>
  </si>
  <si>
    <t>r moyen</t>
  </si>
  <si>
    <t>écart type</t>
  </si>
  <si>
    <t>ALI</t>
  </si>
  <si>
    <t>AGRI</t>
  </si>
  <si>
    <t>JOUET</t>
  </si>
  <si>
    <t>MARCHE</t>
  </si>
  <si>
    <t>rho</t>
  </si>
  <si>
    <t>Age</t>
  </si>
  <si>
    <t>Hypothèses:</t>
  </si>
  <si>
    <t>Taux d'actualisation : 3%</t>
  </si>
  <si>
    <t>Taux de rentabilité r (en %)</t>
  </si>
  <si>
    <t>Produits dérivés et Bitcoin</t>
  </si>
  <si>
    <t>Évolution des prix du Bitcoin</t>
  </si>
  <si>
    <t>Période unique</t>
  </si>
  <si>
    <t>Hausse</t>
  </si>
  <si>
    <t>Baisse</t>
  </si>
  <si>
    <t>Données</t>
  </si>
  <si>
    <t>Si hausse</t>
  </si>
  <si>
    <t>Si baisse</t>
  </si>
  <si>
    <t>Prix initial</t>
  </si>
  <si>
    <t>Strike (Prix d'exercice)</t>
  </si>
  <si>
    <t>Hausse-Hausse</t>
  </si>
  <si>
    <t>Hausse-Baisse</t>
  </si>
  <si>
    <t>Baisse-Baisse</t>
  </si>
  <si>
    <t>Variation (+/- 75%)</t>
  </si>
  <si>
    <t>Baisse/Hausse</t>
  </si>
  <si>
    <t>Prix final</t>
  </si>
  <si>
    <t>Valeur de l'option (Put)</t>
  </si>
  <si>
    <t>Valeur PUT</t>
  </si>
  <si>
    <t>Put (36 750) = 0</t>
  </si>
  <si>
    <t>Portefeuille de réplication</t>
  </si>
  <si>
    <t>Put à 21 000 : 0</t>
  </si>
  <si>
    <t>Put (5 250) = 0</t>
  </si>
  <si>
    <t>Delta</t>
  </si>
  <si>
    <t>Put à 3 000 : 834,97€</t>
  </si>
  <si>
    <t>Montant obligataire</t>
  </si>
  <si>
    <t>Put (750) = 1750</t>
  </si>
  <si>
    <t>Prix du Put</t>
  </si>
  <si>
    <t xml:space="preserve">Le modèle utilise l'induction arrière : on définit la valeur du Put à l'échéance (2020), </t>
  </si>
  <si>
    <t>puis on remonte le temps en calculant l'espérance mathématique sous probabilité risque-neutre (p) pour trouver le juste prix en 2018.</t>
  </si>
  <si>
    <t>Taux sans risque r</t>
  </si>
  <si>
    <t>Probabilité risque-neutre</t>
  </si>
  <si>
    <t>Intrinsic Value per Share (EDF)</t>
  </si>
  <si>
    <t>Intrinsic Value per Share (McDonald's)</t>
  </si>
  <si>
    <t>Annual Savings Required</t>
  </si>
  <si>
    <t>Discount Rate</t>
  </si>
  <si>
    <t>Dividend (€)</t>
  </si>
  <si>
    <t>Growth Rate (g)</t>
  </si>
  <si>
    <t>Final Salary (Age 65)</t>
  </si>
  <si>
    <t>Target Retirement Income</t>
  </si>
  <si>
    <t>Present value (Gordon-Shapiro formula)</t>
  </si>
  <si>
    <t>Present Value</t>
  </si>
  <si>
    <t>Present value per share</t>
  </si>
  <si>
    <t>Dividend</t>
  </si>
  <si>
    <t>Target Retirement Income: 70% of last salary</t>
  </si>
  <si>
    <t>Legal Retirement Income: 50% of last salary</t>
  </si>
  <si>
    <t>Legal retirement</t>
  </si>
  <si>
    <t>Annuity</t>
  </si>
  <si>
    <t>Annuity Final Value</t>
  </si>
  <si>
    <t>Equity Valuation</t>
  </si>
  <si>
    <t>Number of Shares</t>
  </si>
  <si>
    <t>Market Price</t>
  </si>
  <si>
    <t>Recommendation: Sell (Overvalued)</t>
  </si>
  <si>
    <t>Retirement &amp; Lifecycle Modeling</t>
  </si>
  <si>
    <t>Annual Contribution</t>
  </si>
  <si>
    <t>Accumulated Capital</t>
  </si>
  <si>
    <t>Income growth rate (First 10 years): 4%/year</t>
  </si>
  <si>
    <t>Income growth rate (Remainder of career): 2%/year</t>
  </si>
  <si>
    <t>Initial net annual salary (Age 24): €33,000</t>
  </si>
  <si>
    <t>Retirement at Age 65</t>
  </si>
  <si>
    <t>Salary after 10 years (Age 34)</t>
  </si>
  <si>
    <t>Discounting to start of savings period (Age 28)</t>
  </si>
  <si>
    <t>Principal Repaid</t>
  </si>
  <si>
    <t>Years</t>
  </si>
  <si>
    <t>Outstanding Balance (Repayment Scenario)</t>
  </si>
  <si>
    <t>Annual Payment (Option 1)</t>
  </si>
  <si>
    <t>Interest Paid (4.5%)</t>
  </si>
  <si>
    <t>Investment Value (Option 2 - 5%)</t>
  </si>
  <si>
    <t>Arbitrage differential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</si>
</sst>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€&quot;#,##0.00"/>
    <numFmt numFmtId="165" formatCode="#,##0.00\ &quot;€&quot;"/>
    <numFmt numFmtId="166" formatCode="0.0000"/>
    <numFmt numFmtId="167" formatCode="#,##0.0000\ &quot;€&quot;"/>
  </numFmts>
  <fonts count="1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theme="1"/>
      <name val="Helvetica Neue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/>
    <xf numFmtId="0" fontId="1" fillId="0" borderId="0" xfId="0" applyFont="1"/>
    <xf numFmtId="49" fontId="1" fillId="0" borderId="1" xfId="0" applyNumberFormat="1" applyFont="1" applyBorder="1"/>
    <xf numFmtId="49" fontId="1" fillId="0" borderId="2" xfId="0" applyNumberFormat="1" applyFont="1" applyBorder="1"/>
    <xf numFmtId="49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0" fontId="3" fillId="0" borderId="3" xfId="0" applyFont="1" applyBorder="1"/>
    <xf numFmtId="10" fontId="3" fillId="0" borderId="0" xfId="0" applyNumberFormat="1" applyFont="1"/>
    <xf numFmtId="9" fontId="3" fillId="0" borderId="0" xfId="0" applyNumberFormat="1" applyFont="1"/>
    <xf numFmtId="0" fontId="2" fillId="0" borderId="3" xfId="0" applyFont="1" applyBorder="1"/>
    <xf numFmtId="10" fontId="3" fillId="0" borderId="3" xfId="0" applyNumberFormat="1" applyFont="1" applyBorder="1"/>
    <xf numFmtId="9" fontId="3" fillId="0" borderId="3" xfId="0" applyNumberFormat="1" applyFont="1" applyBorder="1"/>
    <xf numFmtId="164" fontId="3" fillId="0" borderId="3" xfId="0" applyNumberFormat="1" applyFont="1" applyBorder="1"/>
    <xf numFmtId="164" fontId="3" fillId="0" borderId="0" xfId="0" applyNumberFormat="1" applyFont="1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49" fontId="5" fillId="0" borderId="4" xfId="0" applyNumberFormat="1" applyFont="1" applyBorder="1" applyAlignment="1">
      <alignment vertical="top" wrapText="1"/>
    </xf>
    <xf numFmtId="49" fontId="7" fillId="0" borderId="4" xfId="0" applyNumberFormat="1" applyFont="1" applyBorder="1" applyAlignment="1">
      <alignment horizontal="center" vertical="top" wrapText="1"/>
    </xf>
    <xf numFmtId="10" fontId="5" fillId="0" borderId="0" xfId="0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10" fontId="6" fillId="0" borderId="0" xfId="0" applyNumberFormat="1" applyFont="1" applyAlignment="1">
      <alignment horizontal="right" vertical="top" wrapText="1"/>
    </xf>
    <xf numFmtId="0" fontId="7" fillId="0" borderId="4" xfId="0" applyFont="1" applyBorder="1" applyAlignment="1">
      <alignment vertical="top" wrapText="1"/>
    </xf>
    <xf numFmtId="10" fontId="5" fillId="0" borderId="4" xfId="0" applyNumberFormat="1" applyFont="1" applyBorder="1" applyAlignment="1">
      <alignment vertical="top" wrapText="1"/>
    </xf>
    <xf numFmtId="10" fontId="1" fillId="0" borderId="4" xfId="0" applyNumberFormat="1" applyFont="1" applyBorder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10" fontId="5" fillId="0" borderId="3" xfId="0" applyNumberFormat="1" applyFont="1" applyBorder="1" applyAlignment="1">
      <alignment vertical="top" wrapText="1"/>
    </xf>
    <xf numFmtId="165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/>
    <xf numFmtId="165" fontId="0" fillId="0" borderId="16" xfId="0" applyNumberFormat="1" applyBorder="1"/>
    <xf numFmtId="9" fontId="0" fillId="0" borderId="16" xfId="0" applyNumberFormat="1" applyBorder="1"/>
    <xf numFmtId="0" fontId="0" fillId="0" borderId="11" xfId="0" applyBorder="1"/>
    <xf numFmtId="2" fontId="0" fillId="0" borderId="0" xfId="0" applyNumberFormat="1"/>
    <xf numFmtId="166" fontId="0" fillId="0" borderId="0" xfId="0" applyNumberFormat="1"/>
    <xf numFmtId="0" fontId="0" fillId="0" borderId="12" xfId="0" applyBorder="1"/>
    <xf numFmtId="167" fontId="0" fillId="0" borderId="0" xfId="0" applyNumberForma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Helvetica Neue"/>
              </a:defRPr>
            </a:pPr>
            <a:r>
              <a:rPr lang="fr-FR" sz="1400" b="0" i="0">
                <a:solidFill>
                  <a:srgbClr val="757575"/>
                </a:solidFill>
                <a:latin typeface="Helvetica Neue"/>
              </a:rPr>
              <a:t>Coûts de démantèlement, échéancier, en euros de 2022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'[1]données nucléaires'!$A$5:$A$58</c:f>
              <c:numCache>
                <c:formatCode>General</c:formatCode>
                <c:ptCount val="5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  <c:pt idx="45">
                  <c:v>2061</c:v>
                </c:pt>
                <c:pt idx="46">
                  <c:v>2062</c:v>
                </c:pt>
                <c:pt idx="47">
                  <c:v>2063</c:v>
                </c:pt>
                <c:pt idx="48">
                  <c:v>2064</c:v>
                </c:pt>
                <c:pt idx="49">
                  <c:v>2065</c:v>
                </c:pt>
                <c:pt idx="50">
                  <c:v>2066</c:v>
                </c:pt>
                <c:pt idx="51">
                  <c:v>2067</c:v>
                </c:pt>
                <c:pt idx="52">
                  <c:v>2068</c:v>
                </c:pt>
                <c:pt idx="53">
                  <c:v>2069</c:v>
                </c:pt>
              </c:numCache>
            </c:numRef>
          </c:cat>
          <c:val>
            <c:numRef>
              <c:f>'[1]données nucléaires'!$BI$5:$BI$58</c:f>
              <c:numCache>
                <c:formatCode>General</c:formatCode>
                <c:ptCount val="54"/>
                <c:pt idx="0">
                  <c:v>0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150</c:v>
                </c:pt>
                <c:pt idx="13">
                  <c:v>225</c:v>
                </c:pt>
                <c:pt idx="14">
                  <c:v>525</c:v>
                </c:pt>
                <c:pt idx="15">
                  <c:v>787.5</c:v>
                </c:pt>
                <c:pt idx="16">
                  <c:v>862.5</c:v>
                </c:pt>
                <c:pt idx="17">
                  <c:v>1012.5</c:v>
                </c:pt>
                <c:pt idx="18">
                  <c:v>1237.5</c:v>
                </c:pt>
                <c:pt idx="19">
                  <c:v>1387.5</c:v>
                </c:pt>
                <c:pt idx="20">
                  <c:v>1575</c:v>
                </c:pt>
                <c:pt idx="21">
                  <c:v>1725</c:v>
                </c:pt>
                <c:pt idx="22">
                  <c:v>1725</c:v>
                </c:pt>
                <c:pt idx="23">
                  <c:v>1725</c:v>
                </c:pt>
                <c:pt idx="24">
                  <c:v>1837.5</c:v>
                </c:pt>
                <c:pt idx="25">
                  <c:v>1875</c:v>
                </c:pt>
                <c:pt idx="26">
                  <c:v>1912.5</c:v>
                </c:pt>
                <c:pt idx="27">
                  <c:v>1950</c:v>
                </c:pt>
                <c:pt idx="28">
                  <c:v>1950</c:v>
                </c:pt>
                <c:pt idx="29">
                  <c:v>1950</c:v>
                </c:pt>
                <c:pt idx="30">
                  <c:v>1987.5</c:v>
                </c:pt>
                <c:pt idx="31">
                  <c:v>2062.5</c:v>
                </c:pt>
                <c:pt idx="32">
                  <c:v>2062.5</c:v>
                </c:pt>
                <c:pt idx="33">
                  <c:v>2025</c:v>
                </c:pt>
                <c:pt idx="34">
                  <c:v>1950</c:v>
                </c:pt>
                <c:pt idx="35">
                  <c:v>1650</c:v>
                </c:pt>
                <c:pt idx="36">
                  <c:v>1387.5</c:v>
                </c:pt>
                <c:pt idx="37">
                  <c:v>1312.5</c:v>
                </c:pt>
                <c:pt idx="38">
                  <c:v>1162.5</c:v>
                </c:pt>
                <c:pt idx="39">
                  <c:v>937.5</c:v>
                </c:pt>
                <c:pt idx="40">
                  <c:v>787.5</c:v>
                </c:pt>
                <c:pt idx="41">
                  <c:v>600</c:v>
                </c:pt>
                <c:pt idx="42">
                  <c:v>450</c:v>
                </c:pt>
                <c:pt idx="43">
                  <c:v>375</c:v>
                </c:pt>
                <c:pt idx="44">
                  <c:v>375</c:v>
                </c:pt>
                <c:pt idx="45">
                  <c:v>262.5</c:v>
                </c:pt>
                <c:pt idx="46">
                  <c:v>225</c:v>
                </c:pt>
                <c:pt idx="47">
                  <c:v>187.5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112.5</c:v>
                </c:pt>
                <c:pt idx="52">
                  <c:v>37.5</c:v>
                </c:pt>
                <c:pt idx="53">
                  <c:v>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39-8145-9AED-E572CE671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9898146"/>
        <c:axId val="1440162223"/>
      </c:lineChart>
      <c:catAx>
        <c:axId val="2109898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Helvetica Neue"/>
              </a:defRPr>
            </a:pPr>
            <a:endParaRPr lang="fr-FR"/>
          </a:p>
        </c:txPr>
        <c:crossAx val="1440162223"/>
        <c:crosses val="autoZero"/>
        <c:auto val="1"/>
        <c:lblAlgn val="ctr"/>
        <c:lblOffset val="100"/>
        <c:noMultiLvlLbl val="1"/>
      </c:catAx>
      <c:valAx>
        <c:axId val="1440162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Helvetica Neue"/>
              </a:defRPr>
            </a:pPr>
            <a:endParaRPr lang="fr-FR"/>
          </a:p>
        </c:txPr>
        <c:crossAx val="210989814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espérance  par rapport à variance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'[2]Sheet 1'!$Z$1</c:f>
              <c:strCache>
                <c:ptCount val="1"/>
                <c:pt idx="0">
                  <c:v>espérance 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'[2]Sheet 1'!$Y$2:$Y$101</c:f>
              <c:numCache>
                <c:formatCode>General</c:formatCode>
                <c:ptCount val="100"/>
                <c:pt idx="0">
                  <c:v>5.0323744236761406E-2</c:v>
                </c:pt>
                <c:pt idx="1">
                  <c:v>3.7167536232323696E-2</c:v>
                </c:pt>
                <c:pt idx="2">
                  <c:v>5.3387026023773501E-2</c:v>
                </c:pt>
                <c:pt idx="3">
                  <c:v>5.2253025697647906E-2</c:v>
                </c:pt>
                <c:pt idx="4">
                  <c:v>7.657857653525868E-2</c:v>
                </c:pt>
                <c:pt idx="5">
                  <c:v>4.0225722552897546E-2</c:v>
                </c:pt>
                <c:pt idx="6">
                  <c:v>4.4179819758734883E-2</c:v>
                </c:pt>
                <c:pt idx="7">
                  <c:v>4.5384064730783394E-2</c:v>
                </c:pt>
                <c:pt idx="8">
                  <c:v>4.2091765648966946E-2</c:v>
                </c:pt>
                <c:pt idx="9">
                  <c:v>3.9247423341351534E-2</c:v>
                </c:pt>
                <c:pt idx="10">
                  <c:v>3.9576376175910269E-2</c:v>
                </c:pt>
                <c:pt idx="11">
                  <c:v>4.88480183394202E-2</c:v>
                </c:pt>
                <c:pt idx="12">
                  <c:v>6.2723174668128351E-2</c:v>
                </c:pt>
                <c:pt idx="13">
                  <c:v>4.7817481992501978E-2</c:v>
                </c:pt>
                <c:pt idx="14">
                  <c:v>5.0068791205808462E-2</c:v>
                </c:pt>
                <c:pt idx="15">
                  <c:v>7.0783610592825605E-2</c:v>
                </c:pt>
                <c:pt idx="16">
                  <c:v>5.5333653636055802E-2</c:v>
                </c:pt>
                <c:pt idx="17">
                  <c:v>4.3699567072682285E-2</c:v>
                </c:pt>
                <c:pt idx="18">
                  <c:v>4.4892785539574591E-2</c:v>
                </c:pt>
                <c:pt idx="19">
                  <c:v>5.6547400568877103E-2</c:v>
                </c:pt>
                <c:pt idx="20">
                  <c:v>4.2898502897357943E-2</c:v>
                </c:pt>
                <c:pt idx="21">
                  <c:v>3.4355307029391421E-2</c:v>
                </c:pt>
                <c:pt idx="22">
                  <c:v>5.2364304480877234E-2</c:v>
                </c:pt>
                <c:pt idx="23">
                  <c:v>3.7953935674039936E-2</c:v>
                </c:pt>
                <c:pt idx="24">
                  <c:v>4.5929067213822949E-2</c:v>
                </c:pt>
                <c:pt idx="25">
                  <c:v>6.3615615617265545E-2</c:v>
                </c:pt>
                <c:pt idx="26">
                  <c:v>5.8762942714429278E-2</c:v>
                </c:pt>
                <c:pt idx="27">
                  <c:v>4.2683269504584322E-2</c:v>
                </c:pt>
                <c:pt idx="28">
                  <c:v>4.1007669960713256E-2</c:v>
                </c:pt>
                <c:pt idx="29">
                  <c:v>5.5399512723446176E-2</c:v>
                </c:pt>
                <c:pt idx="30">
                  <c:v>4.5194356157431032E-2</c:v>
                </c:pt>
                <c:pt idx="31">
                  <c:v>3.6802420398466471E-2</c:v>
                </c:pt>
                <c:pt idx="32">
                  <c:v>3.6410870786221385E-2</c:v>
                </c:pt>
                <c:pt idx="33">
                  <c:v>4.0141163416927167E-2</c:v>
                </c:pt>
                <c:pt idx="34">
                  <c:v>3.9249940250551736E-2</c:v>
                </c:pt>
                <c:pt idx="35">
                  <c:v>5.9454822289819978E-2</c:v>
                </c:pt>
                <c:pt idx="36">
                  <c:v>5.119023036904722E-2</c:v>
                </c:pt>
                <c:pt idx="37">
                  <c:v>6.8269249775462004E-2</c:v>
                </c:pt>
                <c:pt idx="38">
                  <c:v>4.7366605471501885E-2</c:v>
                </c:pt>
                <c:pt idx="39">
                  <c:v>5.8404642049191546E-2</c:v>
                </c:pt>
                <c:pt idx="40">
                  <c:v>5.6474715384711112E-2</c:v>
                </c:pt>
                <c:pt idx="41">
                  <c:v>3.8917515737248345E-2</c:v>
                </c:pt>
                <c:pt idx="42">
                  <c:v>4.6649115204110497E-2</c:v>
                </c:pt>
                <c:pt idx="43">
                  <c:v>4.3879471284441154E-2</c:v>
                </c:pt>
                <c:pt idx="44">
                  <c:v>4.791022151707254E-2</c:v>
                </c:pt>
                <c:pt idx="45">
                  <c:v>6.534043135734606E-2</c:v>
                </c:pt>
                <c:pt idx="46">
                  <c:v>6.8727283496766489E-2</c:v>
                </c:pt>
                <c:pt idx="47">
                  <c:v>3.9164885550125143E-2</c:v>
                </c:pt>
                <c:pt idx="48">
                  <c:v>5.1051765804536908E-2</c:v>
                </c:pt>
                <c:pt idx="49">
                  <c:v>4.7722005441547824E-2</c:v>
                </c:pt>
                <c:pt idx="50">
                  <c:v>6.7486729200142676E-2</c:v>
                </c:pt>
                <c:pt idx="51">
                  <c:v>4.1000356337888018E-2</c:v>
                </c:pt>
                <c:pt idx="52">
                  <c:v>5.2341209297170455E-2</c:v>
                </c:pt>
                <c:pt idx="53">
                  <c:v>4.9255215218171139E-2</c:v>
                </c:pt>
                <c:pt idx="54">
                  <c:v>4.9116611475792715E-2</c:v>
                </c:pt>
                <c:pt idx="55">
                  <c:v>5.4164065696650325E-2</c:v>
                </c:pt>
                <c:pt idx="56">
                  <c:v>3.6353182145315195E-2</c:v>
                </c:pt>
                <c:pt idx="57">
                  <c:v>4.6242259628382687E-2</c:v>
                </c:pt>
                <c:pt idx="58">
                  <c:v>6.1179399304198523E-2</c:v>
                </c:pt>
                <c:pt idx="59">
                  <c:v>0.10638790103332822</c:v>
                </c:pt>
                <c:pt idx="60">
                  <c:v>5.2409535557198024E-2</c:v>
                </c:pt>
                <c:pt idx="61">
                  <c:v>5.1316890847299207E-2</c:v>
                </c:pt>
                <c:pt idx="62">
                  <c:v>6.8107810907653249E-2</c:v>
                </c:pt>
                <c:pt idx="63">
                  <c:v>4.6495251193969446E-2</c:v>
                </c:pt>
                <c:pt idx="64">
                  <c:v>3.860367309434367E-2</c:v>
                </c:pt>
                <c:pt idx="65">
                  <c:v>6.5744967824355544E-2</c:v>
                </c:pt>
                <c:pt idx="66">
                  <c:v>5.8868984509476516E-2</c:v>
                </c:pt>
                <c:pt idx="67">
                  <c:v>5.8693029277263817E-2</c:v>
                </c:pt>
                <c:pt idx="68">
                  <c:v>3.6536426676280209E-2</c:v>
                </c:pt>
                <c:pt idx="69">
                  <c:v>5.6579883194431746E-2</c:v>
                </c:pt>
                <c:pt idx="70">
                  <c:v>6.0967975339041455E-2</c:v>
                </c:pt>
                <c:pt idx="71">
                  <c:v>6.4064396113640398E-2</c:v>
                </c:pt>
                <c:pt idx="72">
                  <c:v>3.1412465233596046E-2</c:v>
                </c:pt>
                <c:pt idx="73">
                  <c:v>5.9131153878625005E-2</c:v>
                </c:pt>
                <c:pt idx="74">
                  <c:v>3.4660437889517288E-2</c:v>
                </c:pt>
                <c:pt idx="75">
                  <c:v>4.6311040389491021E-2</c:v>
                </c:pt>
                <c:pt idx="76">
                  <c:v>5.6879131291735413E-2</c:v>
                </c:pt>
                <c:pt idx="77">
                  <c:v>4.7347776597842471E-2</c:v>
                </c:pt>
                <c:pt idx="78">
                  <c:v>3.9547613989291103E-2</c:v>
                </c:pt>
                <c:pt idx="79">
                  <c:v>6.4806612202208735E-2</c:v>
                </c:pt>
                <c:pt idx="80">
                  <c:v>4.6331345150702509E-2</c:v>
                </c:pt>
                <c:pt idx="81">
                  <c:v>3.9027841757988305E-2</c:v>
                </c:pt>
                <c:pt idx="82">
                  <c:v>7.3068033121223827E-2</c:v>
                </c:pt>
                <c:pt idx="83">
                  <c:v>4.6500207151557227E-2</c:v>
                </c:pt>
                <c:pt idx="84">
                  <c:v>4.577798850303326E-2</c:v>
                </c:pt>
                <c:pt idx="85">
                  <c:v>6.8000869471735281E-2</c:v>
                </c:pt>
                <c:pt idx="86">
                  <c:v>5.608136549313518E-2</c:v>
                </c:pt>
                <c:pt idx="87">
                  <c:v>4.1638011289671505E-2</c:v>
                </c:pt>
                <c:pt idx="88">
                  <c:v>5.1514505193311397E-2</c:v>
                </c:pt>
                <c:pt idx="89">
                  <c:v>5.7247794784162684E-2</c:v>
                </c:pt>
                <c:pt idx="90">
                  <c:v>5.7000808097117814E-2</c:v>
                </c:pt>
                <c:pt idx="91">
                  <c:v>6.0561926806248327E-2</c:v>
                </c:pt>
                <c:pt idx="92">
                  <c:v>8.8815108521934971E-2</c:v>
                </c:pt>
                <c:pt idx="93">
                  <c:v>3.7964251960940783E-2</c:v>
                </c:pt>
                <c:pt idx="94">
                  <c:v>4.9745833949607382E-2</c:v>
                </c:pt>
                <c:pt idx="95">
                  <c:v>8.0929983471598715E-2</c:v>
                </c:pt>
                <c:pt idx="96">
                  <c:v>6.6341161858815875E-2</c:v>
                </c:pt>
                <c:pt idx="97">
                  <c:v>4.4475217378829847E-2</c:v>
                </c:pt>
                <c:pt idx="98">
                  <c:v>4.5650949867664423E-2</c:v>
                </c:pt>
                <c:pt idx="99">
                  <c:v>4.0194448643857572E-2</c:v>
                </c:pt>
              </c:numCache>
            </c:numRef>
          </c:xVal>
          <c:yVal>
            <c:numRef>
              <c:f>'[2]Sheet 1'!$Z$2:$Z$101</c:f>
              <c:numCache>
                <c:formatCode>General</c:formatCode>
                <c:ptCount val="100"/>
                <c:pt idx="0">
                  <c:v>0.10511425291750881</c:v>
                </c:pt>
                <c:pt idx="1">
                  <c:v>0.11319940442378179</c:v>
                </c:pt>
                <c:pt idx="2">
                  <c:v>0.11276856936081778</c:v>
                </c:pt>
                <c:pt idx="3">
                  <c:v>0.11533050841511495</c:v>
                </c:pt>
                <c:pt idx="4">
                  <c:v>7.6777721924094919E-2</c:v>
                </c:pt>
                <c:pt idx="5">
                  <c:v>0.10984330379853641</c:v>
                </c:pt>
                <c:pt idx="6">
                  <c:v>0.119128515528382</c:v>
                </c:pt>
                <c:pt idx="7">
                  <c:v>0.11843678589951195</c:v>
                </c:pt>
                <c:pt idx="8">
                  <c:v>0.11153073243625959</c:v>
                </c:pt>
                <c:pt idx="9">
                  <c:v>0.12903208572507679</c:v>
                </c:pt>
                <c:pt idx="10">
                  <c:v>0.11053789232793904</c:v>
                </c:pt>
                <c:pt idx="11">
                  <c:v>9.6840772580969223E-2</c:v>
                </c:pt>
                <c:pt idx="12">
                  <c:v>0.10796783580207575</c:v>
                </c:pt>
                <c:pt idx="13">
                  <c:v>8.6564485627469032E-2</c:v>
                </c:pt>
                <c:pt idx="14">
                  <c:v>9.4743374368860891E-2</c:v>
                </c:pt>
                <c:pt idx="15">
                  <c:v>9.6507667727135621E-2</c:v>
                </c:pt>
                <c:pt idx="16">
                  <c:v>0.10631251383305389</c:v>
                </c:pt>
                <c:pt idx="17">
                  <c:v>0.11684808818045883</c:v>
                </c:pt>
                <c:pt idx="18">
                  <c:v>0.12681130738223012</c:v>
                </c:pt>
                <c:pt idx="19">
                  <c:v>9.164064875598478E-2</c:v>
                </c:pt>
                <c:pt idx="20">
                  <c:v>0.11768424487469734</c:v>
                </c:pt>
                <c:pt idx="21">
                  <c:v>0.12462023319083954</c:v>
                </c:pt>
                <c:pt idx="22">
                  <c:v>0.11241849710756616</c:v>
                </c:pt>
                <c:pt idx="23">
                  <c:v>0.1048317073003541</c:v>
                </c:pt>
                <c:pt idx="24">
                  <c:v>8.3180948831309137E-2</c:v>
                </c:pt>
                <c:pt idx="25">
                  <c:v>0.11314399217046778</c:v>
                </c:pt>
                <c:pt idx="26">
                  <c:v>0.10311558772763696</c:v>
                </c:pt>
                <c:pt idx="27">
                  <c:v>0.11215632006278731</c:v>
                </c:pt>
                <c:pt idx="28">
                  <c:v>0.11465191758595292</c:v>
                </c:pt>
                <c:pt idx="29">
                  <c:v>0.11024503634760643</c:v>
                </c:pt>
                <c:pt idx="30">
                  <c:v>0.11413557986135024</c:v>
                </c:pt>
                <c:pt idx="31">
                  <c:v>0.12956709141676259</c:v>
                </c:pt>
                <c:pt idx="32">
                  <c:v>0.13143003576409451</c:v>
                </c:pt>
                <c:pt idx="33">
                  <c:v>0.10915776121407164</c:v>
                </c:pt>
                <c:pt idx="34">
                  <c:v>0.1281749943271534</c:v>
                </c:pt>
                <c:pt idx="35">
                  <c:v>0.10795524478252892</c:v>
                </c:pt>
                <c:pt idx="36">
                  <c:v>8.4739671121700874E-2</c:v>
                </c:pt>
                <c:pt idx="37">
                  <c:v>8.8709597687389702E-2</c:v>
                </c:pt>
                <c:pt idx="38">
                  <c:v>9.8128492056582195E-2</c:v>
                </c:pt>
                <c:pt idx="39">
                  <c:v>9.2482948492569161E-2</c:v>
                </c:pt>
                <c:pt idx="40">
                  <c:v>8.994377174926188E-2</c:v>
                </c:pt>
                <c:pt idx="41">
                  <c:v>0.11009941232340709</c:v>
                </c:pt>
                <c:pt idx="42">
                  <c:v>8.16339462573865E-2</c:v>
                </c:pt>
                <c:pt idx="43">
                  <c:v>0.13322413815441264</c:v>
                </c:pt>
                <c:pt idx="44">
                  <c:v>0.12557320151164306</c:v>
                </c:pt>
                <c:pt idx="45">
                  <c:v>7.7514531270072851E-2</c:v>
                </c:pt>
                <c:pt idx="46">
                  <c:v>0.10083657701418991</c:v>
                </c:pt>
                <c:pt idx="47">
                  <c:v>0.13585822361811872</c:v>
                </c:pt>
                <c:pt idx="48">
                  <c:v>0.11702599386008405</c:v>
                </c:pt>
                <c:pt idx="49">
                  <c:v>0.10292075235441699</c:v>
                </c:pt>
                <c:pt idx="50">
                  <c:v>8.8913765339339423E-2</c:v>
                </c:pt>
                <c:pt idx="51">
                  <c:v>0.11547358402554625</c:v>
                </c:pt>
                <c:pt idx="52">
                  <c:v>0.10615982434975815</c:v>
                </c:pt>
                <c:pt idx="53">
                  <c:v>0.10200543947526276</c:v>
                </c:pt>
                <c:pt idx="54">
                  <c:v>0.11517577479198185</c:v>
                </c:pt>
                <c:pt idx="55">
                  <c:v>0.10493527659072902</c:v>
                </c:pt>
                <c:pt idx="56">
                  <c:v>0.12242246614204876</c:v>
                </c:pt>
                <c:pt idx="57">
                  <c:v>0.10234127324427301</c:v>
                </c:pt>
                <c:pt idx="58">
                  <c:v>8.647887704571694E-2</c:v>
                </c:pt>
                <c:pt idx="59">
                  <c:v>7.2714692662683628E-2</c:v>
                </c:pt>
                <c:pt idx="60">
                  <c:v>0.10011561176279254</c:v>
                </c:pt>
                <c:pt idx="61">
                  <c:v>7.4045904967277851E-2</c:v>
                </c:pt>
                <c:pt idx="62">
                  <c:v>0.10109065639326029</c:v>
                </c:pt>
                <c:pt idx="63">
                  <c:v>0.10605270800305835</c:v>
                </c:pt>
                <c:pt idx="64">
                  <c:v>0.12973850382082441</c:v>
                </c:pt>
                <c:pt idx="65">
                  <c:v>7.1695626691580472E-2</c:v>
                </c:pt>
                <c:pt idx="66">
                  <c:v>0.11269119490053035</c:v>
                </c:pt>
                <c:pt idx="67">
                  <c:v>8.5165020396596125E-2</c:v>
                </c:pt>
                <c:pt idx="68">
                  <c:v>0.11904067684535088</c:v>
                </c:pt>
                <c:pt idx="69">
                  <c:v>0.12303025315850598</c:v>
                </c:pt>
                <c:pt idx="70">
                  <c:v>0.103424383413495</c:v>
                </c:pt>
                <c:pt idx="71">
                  <c:v>0.11109039174899113</c:v>
                </c:pt>
                <c:pt idx="72">
                  <c:v>0.14807193947320657</c:v>
                </c:pt>
                <c:pt idx="73">
                  <c:v>8.5426199775917741E-2</c:v>
                </c:pt>
                <c:pt idx="74">
                  <c:v>0.14474227550025481</c:v>
                </c:pt>
                <c:pt idx="75">
                  <c:v>9.9647150470409937E-2</c:v>
                </c:pt>
                <c:pt idx="76">
                  <c:v>0.11581518873463482</c:v>
                </c:pt>
                <c:pt idx="77">
                  <c:v>0.1012293121937399</c:v>
                </c:pt>
                <c:pt idx="78">
                  <c:v>0.11541467670462142</c:v>
                </c:pt>
                <c:pt idx="79">
                  <c:v>9.4124300372330508E-2</c:v>
                </c:pt>
                <c:pt idx="80">
                  <c:v>0.11090778479439645</c:v>
                </c:pt>
                <c:pt idx="81">
                  <c:v>0.12006118469090336</c:v>
                </c:pt>
                <c:pt idx="82">
                  <c:v>8.0918688409847436E-2</c:v>
                </c:pt>
                <c:pt idx="83">
                  <c:v>0.12077888666059028</c:v>
                </c:pt>
                <c:pt idx="84">
                  <c:v>0.10569669037198914</c:v>
                </c:pt>
                <c:pt idx="85">
                  <c:v>8.4318895494922802E-2</c:v>
                </c:pt>
                <c:pt idx="86">
                  <c:v>0.12316672092935294</c:v>
                </c:pt>
                <c:pt idx="87">
                  <c:v>0.11039773653919049</c:v>
                </c:pt>
                <c:pt idx="88">
                  <c:v>0.10430573776688151</c:v>
                </c:pt>
                <c:pt idx="89">
                  <c:v>9.4917978517931212E-2</c:v>
                </c:pt>
                <c:pt idx="90">
                  <c:v>0.13114807409417012</c:v>
                </c:pt>
                <c:pt idx="91">
                  <c:v>0.13127179115607276</c:v>
                </c:pt>
                <c:pt idx="92">
                  <c:v>0.1115524291169484</c:v>
                </c:pt>
                <c:pt idx="93">
                  <c:v>0.11433961809774337</c:v>
                </c:pt>
                <c:pt idx="94">
                  <c:v>0.11962490622551131</c:v>
                </c:pt>
                <c:pt idx="95">
                  <c:v>9.3435700741781147E-2</c:v>
                </c:pt>
                <c:pt idx="96">
                  <c:v>9.6832587312125018E-2</c:v>
                </c:pt>
                <c:pt idx="97">
                  <c:v>0.11048832388152967</c:v>
                </c:pt>
                <c:pt idx="98">
                  <c:v>0.14530130597583141</c:v>
                </c:pt>
                <c:pt idx="99">
                  <c:v>0.11392454750851705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29-6347-83EF-8FB2E92B6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9358194"/>
        <c:axId val="1513376890"/>
      </c:scatterChart>
      <c:valAx>
        <c:axId val="14593581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variance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513376890"/>
        <c:crosses val="autoZero"/>
        <c:crossBetween val="midCat"/>
      </c:valAx>
      <c:valAx>
        <c:axId val="1513376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espérance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5935819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0</xdr:colOff>
      <xdr:row>59</xdr:row>
      <xdr:rowOff>142875</xdr:rowOff>
    </xdr:from>
    <xdr:ext cx="5867400" cy="4286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F8AE53-6F42-7444-AAA4-AE47CB092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855663</xdr:colOff>
      <xdr:row>77</xdr:row>
      <xdr:rowOff>217488</xdr:rowOff>
    </xdr:from>
    <xdr:ext cx="4791075" cy="2962275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7F7C3425-4696-8348-917B-AE11F8746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ubenbensoussan/Downloads/Projets%20CV/Finance%20TSE/APP%203%20Demantelement%20copie%20VF.xlsx" TargetMode="External"/><Relationship Id="rId1" Type="http://schemas.openxmlformats.org/officeDocument/2006/relationships/externalLinkPath" Target="APP%203%20Demantelement%20copie%20VF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ubenbensoussan/Downloads/Projets%20CV/Finance%20TSE/app%204%20re%20zen%20copie.xlsx" TargetMode="External"/><Relationship Id="rId1" Type="http://schemas.openxmlformats.org/officeDocument/2006/relationships/externalLinkPath" Target="app%204%20re%20zen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nnées nucléaires"/>
      <sheetName val="Feuille 1"/>
    </sheetNames>
    <sheetDataSet>
      <sheetData sheetId="0">
        <row r="5">
          <cell r="A5">
            <v>2016</v>
          </cell>
          <cell r="BI5">
            <v>0</v>
          </cell>
        </row>
        <row r="6">
          <cell r="A6">
            <v>2017</v>
          </cell>
          <cell r="BI6">
            <v>75</v>
          </cell>
        </row>
        <row r="7">
          <cell r="A7">
            <v>2018</v>
          </cell>
          <cell r="BI7">
            <v>75</v>
          </cell>
        </row>
        <row r="8">
          <cell r="A8">
            <v>2019</v>
          </cell>
          <cell r="BI8">
            <v>75</v>
          </cell>
        </row>
        <row r="9">
          <cell r="A9">
            <v>2020</v>
          </cell>
          <cell r="BI9">
            <v>75</v>
          </cell>
        </row>
        <row r="10">
          <cell r="A10">
            <v>2021</v>
          </cell>
          <cell r="BI10">
            <v>75</v>
          </cell>
        </row>
        <row r="11">
          <cell r="A11">
            <v>2022</v>
          </cell>
          <cell r="BI11">
            <v>75</v>
          </cell>
        </row>
        <row r="12">
          <cell r="A12">
            <v>2023</v>
          </cell>
          <cell r="BI12">
            <v>75</v>
          </cell>
        </row>
        <row r="13">
          <cell r="A13">
            <v>2024</v>
          </cell>
          <cell r="BI13">
            <v>75</v>
          </cell>
        </row>
        <row r="14">
          <cell r="A14">
            <v>2025</v>
          </cell>
          <cell r="BI14">
            <v>75</v>
          </cell>
        </row>
        <row r="15">
          <cell r="A15">
            <v>2026</v>
          </cell>
          <cell r="BI15">
            <v>75</v>
          </cell>
        </row>
        <row r="16">
          <cell r="A16">
            <v>2027</v>
          </cell>
          <cell r="BI16">
            <v>75</v>
          </cell>
        </row>
        <row r="17">
          <cell r="A17">
            <v>2028</v>
          </cell>
          <cell r="BI17">
            <v>150</v>
          </cell>
        </row>
        <row r="18">
          <cell r="A18">
            <v>2029</v>
          </cell>
          <cell r="BI18">
            <v>225</v>
          </cell>
        </row>
        <row r="19">
          <cell r="A19">
            <v>2030</v>
          </cell>
          <cell r="BI19">
            <v>525</v>
          </cell>
        </row>
        <row r="20">
          <cell r="A20">
            <v>2031</v>
          </cell>
          <cell r="BI20">
            <v>787.5</v>
          </cell>
        </row>
        <row r="21">
          <cell r="A21">
            <v>2032</v>
          </cell>
          <cell r="BI21">
            <v>862.5</v>
          </cell>
        </row>
        <row r="22">
          <cell r="A22">
            <v>2033</v>
          </cell>
          <cell r="BI22">
            <v>1012.5</v>
          </cell>
        </row>
        <row r="23">
          <cell r="A23">
            <v>2034</v>
          </cell>
          <cell r="BI23">
            <v>1237.5</v>
          </cell>
        </row>
        <row r="24">
          <cell r="A24">
            <v>2035</v>
          </cell>
          <cell r="BI24">
            <v>1387.5</v>
          </cell>
        </row>
        <row r="25">
          <cell r="A25">
            <v>2036</v>
          </cell>
          <cell r="BI25">
            <v>1575</v>
          </cell>
        </row>
        <row r="26">
          <cell r="A26">
            <v>2037</v>
          </cell>
          <cell r="BI26">
            <v>1725</v>
          </cell>
        </row>
        <row r="27">
          <cell r="A27">
            <v>2038</v>
          </cell>
          <cell r="BI27">
            <v>1725</v>
          </cell>
        </row>
        <row r="28">
          <cell r="A28">
            <v>2039</v>
          </cell>
          <cell r="BI28">
            <v>1725</v>
          </cell>
        </row>
        <row r="29">
          <cell r="A29">
            <v>2040</v>
          </cell>
          <cell r="BI29">
            <v>1837.5</v>
          </cell>
        </row>
        <row r="30">
          <cell r="A30">
            <v>2041</v>
          </cell>
          <cell r="BI30">
            <v>1875</v>
          </cell>
        </row>
        <row r="31">
          <cell r="A31">
            <v>2042</v>
          </cell>
          <cell r="BI31">
            <v>1912.5</v>
          </cell>
        </row>
        <row r="32">
          <cell r="A32">
            <v>2043</v>
          </cell>
          <cell r="BI32">
            <v>1950</v>
          </cell>
        </row>
        <row r="33">
          <cell r="A33">
            <v>2044</v>
          </cell>
          <cell r="BI33">
            <v>1950</v>
          </cell>
        </row>
        <row r="34">
          <cell r="A34">
            <v>2045</v>
          </cell>
          <cell r="BI34">
            <v>1950</v>
          </cell>
        </row>
        <row r="35">
          <cell r="A35">
            <v>2046</v>
          </cell>
          <cell r="BI35">
            <v>1987.5</v>
          </cell>
        </row>
        <row r="36">
          <cell r="A36">
            <v>2047</v>
          </cell>
          <cell r="BI36">
            <v>2062.5</v>
          </cell>
        </row>
        <row r="37">
          <cell r="A37">
            <v>2048</v>
          </cell>
          <cell r="BI37">
            <v>2062.5</v>
          </cell>
        </row>
        <row r="38">
          <cell r="A38">
            <v>2049</v>
          </cell>
          <cell r="BI38">
            <v>2025</v>
          </cell>
        </row>
        <row r="39">
          <cell r="A39">
            <v>2050</v>
          </cell>
          <cell r="BI39">
            <v>1950</v>
          </cell>
        </row>
        <row r="40">
          <cell r="A40">
            <v>2051</v>
          </cell>
          <cell r="BI40">
            <v>1650</v>
          </cell>
        </row>
        <row r="41">
          <cell r="A41">
            <v>2052</v>
          </cell>
          <cell r="BI41">
            <v>1387.5</v>
          </cell>
        </row>
        <row r="42">
          <cell r="A42">
            <v>2053</v>
          </cell>
          <cell r="BI42">
            <v>1312.5</v>
          </cell>
        </row>
        <row r="43">
          <cell r="A43">
            <v>2054</v>
          </cell>
          <cell r="BI43">
            <v>1162.5</v>
          </cell>
        </row>
        <row r="44">
          <cell r="A44">
            <v>2055</v>
          </cell>
          <cell r="BI44">
            <v>937.5</v>
          </cell>
        </row>
        <row r="45">
          <cell r="A45">
            <v>2056</v>
          </cell>
          <cell r="BI45">
            <v>787.5</v>
          </cell>
        </row>
        <row r="46">
          <cell r="A46">
            <v>2057</v>
          </cell>
          <cell r="BI46">
            <v>600</v>
          </cell>
        </row>
        <row r="47">
          <cell r="A47">
            <v>2058</v>
          </cell>
          <cell r="BI47">
            <v>450</v>
          </cell>
        </row>
        <row r="48">
          <cell r="A48">
            <v>2059</v>
          </cell>
          <cell r="BI48">
            <v>375</v>
          </cell>
        </row>
        <row r="49">
          <cell r="A49">
            <v>2060</v>
          </cell>
          <cell r="BI49">
            <v>375</v>
          </cell>
        </row>
        <row r="50">
          <cell r="A50">
            <v>2061</v>
          </cell>
          <cell r="BI50">
            <v>262.5</v>
          </cell>
        </row>
        <row r="51">
          <cell r="A51">
            <v>2062</v>
          </cell>
          <cell r="BI51">
            <v>225</v>
          </cell>
        </row>
        <row r="52">
          <cell r="A52">
            <v>2063</v>
          </cell>
          <cell r="BI52">
            <v>187.5</v>
          </cell>
        </row>
        <row r="53">
          <cell r="A53">
            <v>2064</v>
          </cell>
          <cell r="BI53">
            <v>150</v>
          </cell>
        </row>
        <row r="54">
          <cell r="A54">
            <v>2065</v>
          </cell>
          <cell r="BI54">
            <v>150</v>
          </cell>
        </row>
        <row r="55">
          <cell r="A55">
            <v>2066</v>
          </cell>
          <cell r="BI55">
            <v>150</v>
          </cell>
        </row>
        <row r="56">
          <cell r="A56">
            <v>2067</v>
          </cell>
          <cell r="BI56">
            <v>112.5</v>
          </cell>
        </row>
        <row r="57">
          <cell r="A57">
            <v>2068</v>
          </cell>
          <cell r="BI57">
            <v>37.5</v>
          </cell>
        </row>
        <row r="58">
          <cell r="A58">
            <v>2069</v>
          </cell>
          <cell r="BI58">
            <v>37.5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1">
          <cell r="Z1" t="str">
            <v xml:space="preserve">espérance </v>
          </cell>
        </row>
        <row r="2">
          <cell r="Y2">
            <v>5.0323744236761406E-2</v>
          </cell>
          <cell r="Z2">
            <v>0.10511425291750881</v>
          </cell>
        </row>
        <row r="3">
          <cell r="Y3">
            <v>3.7167536232323696E-2</v>
          </cell>
          <cell r="Z3">
            <v>0.11319940442378179</v>
          </cell>
        </row>
        <row r="4">
          <cell r="Y4">
            <v>5.3387026023773501E-2</v>
          </cell>
          <cell r="Z4">
            <v>0.11276856936081778</v>
          </cell>
        </row>
        <row r="5">
          <cell r="Y5">
            <v>5.2253025697647906E-2</v>
          </cell>
          <cell r="Z5">
            <v>0.11533050841511495</v>
          </cell>
        </row>
        <row r="6">
          <cell r="Y6">
            <v>7.657857653525868E-2</v>
          </cell>
          <cell r="Z6">
            <v>7.6777721924094919E-2</v>
          </cell>
        </row>
        <row r="7">
          <cell r="Y7">
            <v>4.0225722552897546E-2</v>
          </cell>
          <cell r="Z7">
            <v>0.10984330379853641</v>
          </cell>
        </row>
        <row r="8">
          <cell r="Y8">
            <v>4.4179819758734883E-2</v>
          </cell>
          <cell r="Z8">
            <v>0.119128515528382</v>
          </cell>
        </row>
        <row r="9">
          <cell r="Y9">
            <v>4.5384064730783394E-2</v>
          </cell>
          <cell r="Z9">
            <v>0.11843678589951195</v>
          </cell>
        </row>
        <row r="10">
          <cell r="Y10">
            <v>4.2091765648966946E-2</v>
          </cell>
          <cell r="Z10">
            <v>0.11153073243625959</v>
          </cell>
        </row>
        <row r="11">
          <cell r="Y11">
            <v>3.9247423341351534E-2</v>
          </cell>
          <cell r="Z11">
            <v>0.12903208572507679</v>
          </cell>
        </row>
        <row r="12">
          <cell r="Y12">
            <v>3.9576376175910269E-2</v>
          </cell>
          <cell r="Z12">
            <v>0.11053789232793904</v>
          </cell>
        </row>
        <row r="13">
          <cell r="Y13">
            <v>4.88480183394202E-2</v>
          </cell>
          <cell r="Z13">
            <v>9.6840772580969223E-2</v>
          </cell>
        </row>
        <row r="14">
          <cell r="Y14">
            <v>6.2723174668128351E-2</v>
          </cell>
          <cell r="Z14">
            <v>0.10796783580207575</v>
          </cell>
        </row>
        <row r="15">
          <cell r="Y15">
            <v>4.7817481992501978E-2</v>
          </cell>
          <cell r="Z15">
            <v>8.6564485627469032E-2</v>
          </cell>
        </row>
        <row r="16">
          <cell r="Y16">
            <v>5.0068791205808462E-2</v>
          </cell>
          <cell r="Z16">
            <v>9.4743374368860891E-2</v>
          </cell>
        </row>
        <row r="17">
          <cell r="Y17">
            <v>7.0783610592825605E-2</v>
          </cell>
          <cell r="Z17">
            <v>9.6507667727135621E-2</v>
          </cell>
        </row>
        <row r="18">
          <cell r="Y18">
            <v>5.5333653636055802E-2</v>
          </cell>
          <cell r="Z18">
            <v>0.10631251383305389</v>
          </cell>
        </row>
        <row r="19">
          <cell r="Y19">
            <v>4.3699567072682285E-2</v>
          </cell>
          <cell r="Z19">
            <v>0.11684808818045883</v>
          </cell>
        </row>
        <row r="20">
          <cell r="Y20">
            <v>4.4892785539574591E-2</v>
          </cell>
          <cell r="Z20">
            <v>0.12681130738223012</v>
          </cell>
        </row>
        <row r="21">
          <cell r="Y21">
            <v>5.6547400568877103E-2</v>
          </cell>
          <cell r="Z21">
            <v>9.164064875598478E-2</v>
          </cell>
        </row>
        <row r="22">
          <cell r="Y22">
            <v>4.2898502897357943E-2</v>
          </cell>
          <cell r="Z22">
            <v>0.11768424487469734</v>
          </cell>
        </row>
        <row r="23">
          <cell r="Y23">
            <v>3.4355307029391421E-2</v>
          </cell>
          <cell r="Z23">
            <v>0.12462023319083954</v>
          </cell>
        </row>
        <row r="24">
          <cell r="Y24">
            <v>5.2364304480877234E-2</v>
          </cell>
          <cell r="Z24">
            <v>0.11241849710756616</v>
          </cell>
        </row>
        <row r="25">
          <cell r="Y25">
            <v>3.7953935674039936E-2</v>
          </cell>
          <cell r="Z25">
            <v>0.1048317073003541</v>
          </cell>
        </row>
        <row r="26">
          <cell r="Y26">
            <v>4.5929067213822949E-2</v>
          </cell>
          <cell r="Z26">
            <v>8.3180948831309137E-2</v>
          </cell>
        </row>
        <row r="27">
          <cell r="Y27">
            <v>6.3615615617265545E-2</v>
          </cell>
          <cell r="Z27">
            <v>0.11314399217046778</v>
          </cell>
        </row>
        <row r="28">
          <cell r="Y28">
            <v>5.8762942714429278E-2</v>
          </cell>
          <cell r="Z28">
            <v>0.10311558772763696</v>
          </cell>
        </row>
        <row r="29">
          <cell r="Y29">
            <v>4.2683269504584322E-2</v>
          </cell>
          <cell r="Z29">
            <v>0.11215632006278731</v>
          </cell>
        </row>
        <row r="30">
          <cell r="Y30">
            <v>4.1007669960713256E-2</v>
          </cell>
          <cell r="Z30">
            <v>0.11465191758595292</v>
          </cell>
        </row>
        <row r="31">
          <cell r="Y31">
            <v>5.5399512723446176E-2</v>
          </cell>
          <cell r="Z31">
            <v>0.11024503634760643</v>
          </cell>
        </row>
        <row r="32">
          <cell r="Y32">
            <v>4.5194356157431032E-2</v>
          </cell>
          <cell r="Z32">
            <v>0.11413557986135024</v>
          </cell>
        </row>
        <row r="33">
          <cell r="Y33">
            <v>3.6802420398466471E-2</v>
          </cell>
          <cell r="Z33">
            <v>0.12956709141676259</v>
          </cell>
        </row>
        <row r="34">
          <cell r="Y34">
            <v>3.6410870786221385E-2</v>
          </cell>
          <cell r="Z34">
            <v>0.13143003576409451</v>
          </cell>
        </row>
        <row r="35">
          <cell r="Y35">
            <v>4.0141163416927167E-2</v>
          </cell>
          <cell r="Z35">
            <v>0.10915776121407164</v>
          </cell>
        </row>
        <row r="36">
          <cell r="Y36">
            <v>3.9249940250551736E-2</v>
          </cell>
          <cell r="Z36">
            <v>0.1281749943271534</v>
          </cell>
        </row>
        <row r="37">
          <cell r="Y37">
            <v>5.9454822289819978E-2</v>
          </cell>
          <cell r="Z37">
            <v>0.10795524478252892</v>
          </cell>
        </row>
        <row r="38">
          <cell r="Y38">
            <v>5.119023036904722E-2</v>
          </cell>
          <cell r="Z38">
            <v>8.4739671121700874E-2</v>
          </cell>
        </row>
        <row r="39">
          <cell r="Y39">
            <v>6.8269249775462004E-2</v>
          </cell>
          <cell r="Z39">
            <v>8.8709597687389702E-2</v>
          </cell>
        </row>
        <row r="40">
          <cell r="Y40">
            <v>4.7366605471501885E-2</v>
          </cell>
          <cell r="Z40">
            <v>9.8128492056582195E-2</v>
          </cell>
        </row>
        <row r="41">
          <cell r="Y41">
            <v>5.8404642049191546E-2</v>
          </cell>
          <cell r="Z41">
            <v>9.2482948492569161E-2</v>
          </cell>
        </row>
        <row r="42">
          <cell r="Y42">
            <v>5.6474715384711112E-2</v>
          </cell>
          <cell r="Z42">
            <v>8.994377174926188E-2</v>
          </cell>
        </row>
        <row r="43">
          <cell r="Y43">
            <v>3.8917515737248345E-2</v>
          </cell>
          <cell r="Z43">
            <v>0.11009941232340709</v>
          </cell>
        </row>
        <row r="44">
          <cell r="Y44">
            <v>4.6649115204110497E-2</v>
          </cell>
          <cell r="Z44">
            <v>8.16339462573865E-2</v>
          </cell>
        </row>
        <row r="45">
          <cell r="Y45">
            <v>4.3879471284441154E-2</v>
          </cell>
          <cell r="Z45">
            <v>0.13322413815441264</v>
          </cell>
        </row>
        <row r="46">
          <cell r="Y46">
            <v>4.791022151707254E-2</v>
          </cell>
          <cell r="Z46">
            <v>0.12557320151164306</v>
          </cell>
        </row>
        <row r="47">
          <cell r="Y47">
            <v>6.534043135734606E-2</v>
          </cell>
          <cell r="Z47">
            <v>7.7514531270072851E-2</v>
          </cell>
        </row>
        <row r="48">
          <cell r="Y48">
            <v>6.8727283496766489E-2</v>
          </cell>
          <cell r="Z48">
            <v>0.10083657701418991</v>
          </cell>
        </row>
        <row r="49">
          <cell r="Y49">
            <v>3.9164885550125143E-2</v>
          </cell>
          <cell r="Z49">
            <v>0.13585822361811872</v>
          </cell>
        </row>
        <row r="50">
          <cell r="Y50">
            <v>5.1051765804536908E-2</v>
          </cell>
          <cell r="Z50">
            <v>0.11702599386008405</v>
          </cell>
        </row>
        <row r="51">
          <cell r="Y51">
            <v>4.7722005441547824E-2</v>
          </cell>
          <cell r="Z51">
            <v>0.10292075235441699</v>
          </cell>
        </row>
        <row r="52">
          <cell r="Y52">
            <v>6.7486729200142676E-2</v>
          </cell>
          <cell r="Z52">
            <v>8.8913765339339423E-2</v>
          </cell>
        </row>
        <row r="53">
          <cell r="Y53">
            <v>4.1000356337888018E-2</v>
          </cell>
          <cell r="Z53">
            <v>0.11547358402554625</v>
          </cell>
        </row>
        <row r="54">
          <cell r="Y54">
            <v>5.2341209297170455E-2</v>
          </cell>
          <cell r="Z54">
            <v>0.10615982434975815</v>
          </cell>
        </row>
        <row r="55">
          <cell r="Y55">
            <v>4.9255215218171139E-2</v>
          </cell>
          <cell r="Z55">
            <v>0.10200543947526276</v>
          </cell>
        </row>
        <row r="56">
          <cell r="Y56">
            <v>4.9116611475792715E-2</v>
          </cell>
          <cell r="Z56">
            <v>0.11517577479198185</v>
          </cell>
        </row>
        <row r="57">
          <cell r="Y57">
            <v>5.4164065696650325E-2</v>
          </cell>
          <cell r="Z57">
            <v>0.10493527659072902</v>
          </cell>
        </row>
        <row r="58">
          <cell r="Y58">
            <v>3.6353182145315195E-2</v>
          </cell>
          <cell r="Z58">
            <v>0.12242246614204876</v>
          </cell>
        </row>
        <row r="59">
          <cell r="Y59">
            <v>4.6242259628382687E-2</v>
          </cell>
          <cell r="Z59">
            <v>0.10234127324427301</v>
          </cell>
        </row>
        <row r="60">
          <cell r="Y60">
            <v>6.1179399304198523E-2</v>
          </cell>
          <cell r="Z60">
            <v>8.647887704571694E-2</v>
          </cell>
        </row>
        <row r="61">
          <cell r="Y61">
            <v>0.10638790103332822</v>
          </cell>
          <cell r="Z61">
            <v>7.2714692662683628E-2</v>
          </cell>
        </row>
        <row r="62">
          <cell r="Y62">
            <v>5.2409535557198024E-2</v>
          </cell>
          <cell r="Z62">
            <v>0.10011561176279254</v>
          </cell>
        </row>
        <row r="63">
          <cell r="Y63">
            <v>5.1316890847299207E-2</v>
          </cell>
          <cell r="Z63">
            <v>7.4045904967277851E-2</v>
          </cell>
        </row>
        <row r="64">
          <cell r="Y64">
            <v>6.8107810907653249E-2</v>
          </cell>
          <cell r="Z64">
            <v>0.10109065639326029</v>
          </cell>
        </row>
        <row r="65">
          <cell r="Y65">
            <v>4.6495251193969446E-2</v>
          </cell>
          <cell r="Z65">
            <v>0.10605270800305835</v>
          </cell>
        </row>
        <row r="66">
          <cell r="Y66">
            <v>3.860367309434367E-2</v>
          </cell>
          <cell r="Z66">
            <v>0.12973850382082441</v>
          </cell>
        </row>
        <row r="67">
          <cell r="Y67">
            <v>6.5744967824355544E-2</v>
          </cell>
          <cell r="Z67">
            <v>7.1695626691580472E-2</v>
          </cell>
        </row>
        <row r="68">
          <cell r="Y68">
            <v>5.8868984509476516E-2</v>
          </cell>
          <cell r="Z68">
            <v>0.11269119490053035</v>
          </cell>
        </row>
        <row r="69">
          <cell r="Y69">
            <v>5.8693029277263817E-2</v>
          </cell>
          <cell r="Z69">
            <v>8.5165020396596125E-2</v>
          </cell>
        </row>
        <row r="70">
          <cell r="Y70">
            <v>3.6536426676280209E-2</v>
          </cell>
          <cell r="Z70">
            <v>0.11904067684535088</v>
          </cell>
        </row>
        <row r="71">
          <cell r="Y71">
            <v>5.6579883194431746E-2</v>
          </cell>
          <cell r="Z71">
            <v>0.12303025315850598</v>
          </cell>
        </row>
        <row r="72">
          <cell r="Y72">
            <v>6.0967975339041455E-2</v>
          </cell>
          <cell r="Z72">
            <v>0.103424383413495</v>
          </cell>
        </row>
        <row r="73">
          <cell r="Y73">
            <v>6.4064396113640398E-2</v>
          </cell>
          <cell r="Z73">
            <v>0.11109039174899113</v>
          </cell>
        </row>
        <row r="74">
          <cell r="Y74">
            <v>3.1412465233596046E-2</v>
          </cell>
          <cell r="Z74">
            <v>0.14807193947320657</v>
          </cell>
        </row>
        <row r="75">
          <cell r="Y75">
            <v>5.9131153878625005E-2</v>
          </cell>
          <cell r="Z75">
            <v>8.5426199775917741E-2</v>
          </cell>
        </row>
        <row r="76">
          <cell r="Y76">
            <v>3.4660437889517288E-2</v>
          </cell>
          <cell r="Z76">
            <v>0.14474227550025481</v>
          </cell>
        </row>
        <row r="77">
          <cell r="Y77">
            <v>4.6311040389491021E-2</v>
          </cell>
          <cell r="Z77">
            <v>9.9647150470409937E-2</v>
          </cell>
        </row>
        <row r="78">
          <cell r="Y78">
            <v>5.6879131291735413E-2</v>
          </cell>
          <cell r="Z78">
            <v>0.11581518873463482</v>
          </cell>
        </row>
        <row r="79">
          <cell r="Y79">
            <v>4.7347776597842471E-2</v>
          </cell>
          <cell r="Z79">
            <v>0.1012293121937399</v>
          </cell>
        </row>
        <row r="80">
          <cell r="Y80">
            <v>3.9547613989291103E-2</v>
          </cell>
          <cell r="Z80">
            <v>0.11541467670462142</v>
          </cell>
        </row>
        <row r="81">
          <cell r="Y81">
            <v>6.4806612202208735E-2</v>
          </cell>
          <cell r="Z81">
            <v>9.4124300372330508E-2</v>
          </cell>
        </row>
        <row r="82">
          <cell r="Y82">
            <v>4.6331345150702509E-2</v>
          </cell>
          <cell r="Z82">
            <v>0.11090778479439645</v>
          </cell>
        </row>
        <row r="83">
          <cell r="Y83">
            <v>3.9027841757988305E-2</v>
          </cell>
          <cell r="Z83">
            <v>0.12006118469090336</v>
          </cell>
        </row>
        <row r="84">
          <cell r="Y84">
            <v>7.3068033121223827E-2</v>
          </cell>
          <cell r="Z84">
            <v>8.0918688409847436E-2</v>
          </cell>
        </row>
        <row r="85">
          <cell r="Y85">
            <v>4.6500207151557227E-2</v>
          </cell>
          <cell r="Z85">
            <v>0.12077888666059028</v>
          </cell>
        </row>
        <row r="86">
          <cell r="Y86">
            <v>4.577798850303326E-2</v>
          </cell>
          <cell r="Z86">
            <v>0.10569669037198914</v>
          </cell>
        </row>
        <row r="87">
          <cell r="Y87">
            <v>6.8000869471735281E-2</v>
          </cell>
          <cell r="Z87">
            <v>8.4318895494922802E-2</v>
          </cell>
        </row>
        <row r="88">
          <cell r="Y88">
            <v>5.608136549313518E-2</v>
          </cell>
          <cell r="Z88">
            <v>0.12316672092935294</v>
          </cell>
        </row>
        <row r="89">
          <cell r="Y89">
            <v>4.1638011289671505E-2</v>
          </cell>
          <cell r="Z89">
            <v>0.11039773653919049</v>
          </cell>
        </row>
        <row r="90">
          <cell r="Y90">
            <v>5.1514505193311397E-2</v>
          </cell>
          <cell r="Z90">
            <v>0.10430573776688151</v>
          </cell>
        </row>
        <row r="91">
          <cell r="Y91">
            <v>5.7247794784162684E-2</v>
          </cell>
          <cell r="Z91">
            <v>9.4917978517931212E-2</v>
          </cell>
        </row>
        <row r="92">
          <cell r="Y92">
            <v>5.7000808097117814E-2</v>
          </cell>
          <cell r="Z92">
            <v>0.13114807409417012</v>
          </cell>
        </row>
        <row r="93">
          <cell r="Y93">
            <v>6.0561926806248327E-2</v>
          </cell>
          <cell r="Z93">
            <v>0.13127179115607276</v>
          </cell>
        </row>
        <row r="94">
          <cell r="Y94">
            <v>8.8815108521934971E-2</v>
          </cell>
          <cell r="Z94">
            <v>0.1115524291169484</v>
          </cell>
        </row>
        <row r="95">
          <cell r="Y95">
            <v>3.7964251960940783E-2</v>
          </cell>
          <cell r="Z95">
            <v>0.11433961809774337</v>
          </cell>
        </row>
        <row r="96">
          <cell r="Y96">
            <v>4.9745833949607382E-2</v>
          </cell>
          <cell r="Z96">
            <v>0.11962490622551131</v>
          </cell>
        </row>
        <row r="97">
          <cell r="Y97">
            <v>8.0929983471598715E-2</v>
          </cell>
          <cell r="Z97">
            <v>9.3435700741781147E-2</v>
          </cell>
        </row>
        <row r="98">
          <cell r="Y98">
            <v>6.6341161858815875E-2</v>
          </cell>
          <cell r="Z98">
            <v>9.6832587312125018E-2</v>
          </cell>
        </row>
        <row r="99">
          <cell r="Y99">
            <v>4.4475217378829847E-2</v>
          </cell>
          <cell r="Z99">
            <v>0.11048832388152967</v>
          </cell>
        </row>
        <row r="100">
          <cell r="Y100">
            <v>4.5650949867664423E-2</v>
          </cell>
          <cell r="Z100">
            <v>0.14530130597583141</v>
          </cell>
        </row>
        <row r="101">
          <cell r="Y101">
            <v>4.0194448643857572E-2</v>
          </cell>
          <cell r="Z101">
            <v>0.11392454750851705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DEBE-C9DC-6E41-AD7F-439760319FAC}">
  <dimension ref="A1:M40"/>
  <sheetViews>
    <sheetView workbookViewId="0">
      <selection activeCell="H22" sqref="H22"/>
    </sheetView>
  </sheetViews>
  <sheetFormatPr baseColWidth="10" defaultRowHeight="16" x14ac:dyDescent="0.2"/>
  <cols>
    <col min="1" max="1" width="23.33203125" customWidth="1"/>
    <col min="2" max="2" width="11.6640625" bestFit="1" customWidth="1"/>
    <col min="4" max="4" width="36.83203125" customWidth="1"/>
    <col min="8" max="8" width="55" customWidth="1"/>
    <col min="9" max="9" width="11.6640625" bestFit="1" customWidth="1"/>
    <col min="13" max="13" width="21.6640625" customWidth="1"/>
  </cols>
  <sheetData>
    <row r="1" spans="1:13" x14ac:dyDescent="0.2">
      <c r="A1" s="48" t="s">
        <v>207</v>
      </c>
      <c r="B1" s="48"/>
      <c r="C1" s="48"/>
      <c r="D1" s="48"/>
      <c r="E1" s="48"/>
      <c r="H1" t="s">
        <v>211</v>
      </c>
      <c r="K1" t="s">
        <v>155</v>
      </c>
      <c r="L1" t="s">
        <v>212</v>
      </c>
      <c r="M1" t="s">
        <v>213</v>
      </c>
    </row>
    <row r="3" spans="1:13" x14ac:dyDescent="0.2">
      <c r="A3" t="s">
        <v>190</v>
      </c>
      <c r="D3" t="s">
        <v>191</v>
      </c>
      <c r="H3" t="s">
        <v>156</v>
      </c>
      <c r="K3">
        <v>28</v>
      </c>
      <c r="L3" s="29">
        <v>4058.1</v>
      </c>
      <c r="M3" s="29">
        <f>M2+L3*1.03</f>
        <v>4179.8429999999998</v>
      </c>
    </row>
    <row r="4" spans="1:13" x14ac:dyDescent="0.2">
      <c r="H4" t="s">
        <v>157</v>
      </c>
      <c r="K4">
        <v>29</v>
      </c>
      <c r="L4" s="29">
        <v>4058.1</v>
      </c>
      <c r="M4" s="29">
        <f t="shared" ref="M4:M40" si="0">M3+L4*1.03</f>
        <v>8359.6859999999997</v>
      </c>
    </row>
    <row r="5" spans="1:13" x14ac:dyDescent="0.2">
      <c r="A5" t="s">
        <v>208</v>
      </c>
      <c r="B5">
        <v>100</v>
      </c>
      <c r="D5" t="s">
        <v>201</v>
      </c>
      <c r="E5" s="30">
        <v>6.8</v>
      </c>
      <c r="H5" t="s">
        <v>202</v>
      </c>
      <c r="K5">
        <v>30</v>
      </c>
      <c r="L5" s="29">
        <v>4058.1</v>
      </c>
      <c r="M5" s="29">
        <f t="shared" si="0"/>
        <v>12539.528999999999</v>
      </c>
    </row>
    <row r="6" spans="1:13" x14ac:dyDescent="0.2">
      <c r="A6" t="s">
        <v>194</v>
      </c>
      <c r="B6">
        <v>0.7</v>
      </c>
      <c r="D6" t="s">
        <v>195</v>
      </c>
      <c r="E6" s="31">
        <v>8.5000000000000006E-2</v>
      </c>
      <c r="H6" t="s">
        <v>203</v>
      </c>
      <c r="K6">
        <v>31</v>
      </c>
      <c r="L6" s="29">
        <v>4058.1</v>
      </c>
      <c r="M6" s="29">
        <f t="shared" si="0"/>
        <v>16719.371999999999</v>
      </c>
    </row>
    <row r="7" spans="1:13" x14ac:dyDescent="0.2">
      <c r="A7" t="s">
        <v>193</v>
      </c>
      <c r="B7" s="32">
        <v>8.5000000000000006E-2</v>
      </c>
      <c r="D7" t="s">
        <v>158</v>
      </c>
      <c r="E7" s="33">
        <v>0.11</v>
      </c>
      <c r="H7" t="s">
        <v>214</v>
      </c>
      <c r="K7">
        <v>32</v>
      </c>
      <c r="L7" s="29">
        <v>4058.1</v>
      </c>
      <c r="M7" s="29">
        <f t="shared" si="0"/>
        <v>20899.215</v>
      </c>
    </row>
    <row r="8" spans="1:13" x14ac:dyDescent="0.2">
      <c r="H8" t="s">
        <v>215</v>
      </c>
      <c r="K8">
        <v>33</v>
      </c>
      <c r="L8" s="29">
        <v>4058.1</v>
      </c>
      <c r="M8" s="29">
        <f t="shared" si="0"/>
        <v>25079.058000000001</v>
      </c>
    </row>
    <row r="9" spans="1:13" x14ac:dyDescent="0.2">
      <c r="A9" t="s">
        <v>199</v>
      </c>
      <c r="B9" s="29">
        <f>(B5*B6)/B7</f>
        <v>823.52941176470586</v>
      </c>
      <c r="D9" t="s">
        <v>198</v>
      </c>
      <c r="E9" s="29">
        <f>E5/(E7-E6)</f>
        <v>272.00000000000006</v>
      </c>
      <c r="H9" t="s">
        <v>216</v>
      </c>
      <c r="K9">
        <v>34</v>
      </c>
      <c r="L9" s="29">
        <v>4058.1</v>
      </c>
      <c r="M9" s="29">
        <f t="shared" si="0"/>
        <v>29258.901000000002</v>
      </c>
    </row>
    <row r="10" spans="1:13" x14ac:dyDescent="0.2">
      <c r="B10" s="29"/>
      <c r="E10" s="29"/>
      <c r="H10" t="s">
        <v>217</v>
      </c>
      <c r="K10">
        <v>35</v>
      </c>
      <c r="L10" s="29">
        <v>4058.1</v>
      </c>
      <c r="M10" s="29">
        <f t="shared" si="0"/>
        <v>33438.743999999999</v>
      </c>
    </row>
    <row r="11" spans="1:13" x14ac:dyDescent="0.2">
      <c r="A11" t="s">
        <v>200</v>
      </c>
      <c r="B11" s="29">
        <f>B9/100</f>
        <v>8.235294117647058</v>
      </c>
      <c r="E11" s="29"/>
      <c r="K11">
        <v>36</v>
      </c>
      <c r="L11" s="29">
        <v>4058.1</v>
      </c>
      <c r="M11" s="29">
        <f t="shared" si="0"/>
        <v>37618.587</v>
      </c>
    </row>
    <row r="12" spans="1:13" x14ac:dyDescent="0.2">
      <c r="B12" s="29"/>
      <c r="E12" s="29"/>
      <c r="K12">
        <v>37</v>
      </c>
      <c r="L12" s="29">
        <v>4058.1</v>
      </c>
      <c r="M12" s="29">
        <f t="shared" si="0"/>
        <v>41798.43</v>
      </c>
    </row>
    <row r="13" spans="1:13" x14ac:dyDescent="0.2">
      <c r="A13" t="s">
        <v>209</v>
      </c>
      <c r="B13" s="29">
        <v>12</v>
      </c>
      <c r="E13" s="29"/>
      <c r="H13" t="s">
        <v>218</v>
      </c>
      <c r="I13" s="29">
        <f>33000*(1.04)^10</f>
        <v>48848.061402305371</v>
      </c>
      <c r="K13">
        <v>38</v>
      </c>
      <c r="L13" s="29">
        <v>4058.1</v>
      </c>
      <c r="M13" s="29">
        <f t="shared" si="0"/>
        <v>45978.273000000001</v>
      </c>
    </row>
    <row r="14" spans="1:13" x14ac:dyDescent="0.2">
      <c r="H14" t="s">
        <v>196</v>
      </c>
      <c r="I14" s="29">
        <f>I13*(1+2%) ^31</f>
        <v>90251.131919698862</v>
      </c>
      <c r="K14">
        <v>39</v>
      </c>
      <c r="L14" s="29">
        <v>4058.1</v>
      </c>
      <c r="M14" s="29">
        <f t="shared" si="0"/>
        <v>50158.116000000002</v>
      </c>
    </row>
    <row r="15" spans="1:13" x14ac:dyDescent="0.2">
      <c r="A15" s="48" t="s">
        <v>210</v>
      </c>
      <c r="B15" s="48"/>
      <c r="H15" t="s">
        <v>197</v>
      </c>
      <c r="I15" s="29">
        <f>I14*0.7</f>
        <v>63175.792343789202</v>
      </c>
      <c r="K15">
        <v>40</v>
      </c>
      <c r="L15" s="29">
        <v>4058.1</v>
      </c>
      <c r="M15" s="29">
        <f t="shared" si="0"/>
        <v>54337.959000000003</v>
      </c>
    </row>
    <row r="16" spans="1:13" x14ac:dyDescent="0.2">
      <c r="K16">
        <v>41</v>
      </c>
      <c r="L16" s="29">
        <v>4058.1</v>
      </c>
      <c r="M16" s="29">
        <f t="shared" si="0"/>
        <v>58517.802000000003</v>
      </c>
    </row>
    <row r="17" spans="8:13" x14ac:dyDescent="0.2">
      <c r="H17" t="s">
        <v>204</v>
      </c>
      <c r="I17" s="29">
        <f>0.5*I14</f>
        <v>45125.565959849431</v>
      </c>
      <c r="K17">
        <v>42</v>
      </c>
      <c r="L17" s="29">
        <v>4058.1</v>
      </c>
      <c r="M17" s="29">
        <f t="shared" si="0"/>
        <v>62697.645000000004</v>
      </c>
    </row>
    <row r="18" spans="8:13" x14ac:dyDescent="0.2">
      <c r="K18">
        <v>43</v>
      </c>
      <c r="L18" s="29">
        <v>4058.1</v>
      </c>
      <c r="M18" s="29">
        <f t="shared" si="0"/>
        <v>66877.487999999998</v>
      </c>
    </row>
    <row r="19" spans="8:13" x14ac:dyDescent="0.2">
      <c r="H19" t="s">
        <v>205</v>
      </c>
      <c r="I19" s="29">
        <f>I15-I17</f>
        <v>18050.226383939771</v>
      </c>
      <c r="K19">
        <v>44</v>
      </c>
      <c r="L19" s="29">
        <v>4058.1</v>
      </c>
      <c r="M19" s="29">
        <f t="shared" si="0"/>
        <v>71057.330999999991</v>
      </c>
    </row>
    <row r="20" spans="8:13" x14ac:dyDescent="0.2">
      <c r="H20" t="s">
        <v>206</v>
      </c>
      <c r="I20" s="29">
        <f>I19*(1-(1.03)^(-20))/0.03</f>
        <v>268541.78925259458</v>
      </c>
      <c r="K20">
        <v>45</v>
      </c>
      <c r="L20" s="29">
        <v>4058.1</v>
      </c>
      <c r="M20" s="29">
        <f t="shared" si="0"/>
        <v>75237.173999999985</v>
      </c>
    </row>
    <row r="21" spans="8:13" x14ac:dyDescent="0.2">
      <c r="K21">
        <v>46</v>
      </c>
      <c r="L21" s="29">
        <v>4058.1</v>
      </c>
      <c r="M21" s="29">
        <f t="shared" si="0"/>
        <v>79417.016999999978</v>
      </c>
    </row>
    <row r="22" spans="8:13" x14ac:dyDescent="0.2">
      <c r="H22" t="s">
        <v>219</v>
      </c>
      <c r="I22" s="29">
        <f>I20 / (1.03)^37</f>
        <v>89956.917257169349</v>
      </c>
      <c r="K22">
        <v>47</v>
      </c>
      <c r="L22" s="29">
        <v>4058.1</v>
      </c>
      <c r="M22" s="29">
        <f t="shared" si="0"/>
        <v>83596.859999999971</v>
      </c>
    </row>
    <row r="23" spans="8:13" x14ac:dyDescent="0.2">
      <c r="K23">
        <v>48</v>
      </c>
      <c r="L23" s="29">
        <v>4058.1</v>
      </c>
      <c r="M23" s="29">
        <f t="shared" si="0"/>
        <v>87776.702999999965</v>
      </c>
    </row>
    <row r="24" spans="8:13" x14ac:dyDescent="0.2">
      <c r="H24" s="60" t="s">
        <v>192</v>
      </c>
      <c r="I24" s="29">
        <f>I22*(0.03*(1.03)^37)/((1.03)^37-1)</f>
        <v>4058.1026678183621</v>
      </c>
      <c r="K24">
        <v>49</v>
      </c>
      <c r="L24" s="29">
        <v>4058.1</v>
      </c>
      <c r="M24" s="29">
        <f t="shared" si="0"/>
        <v>91956.545999999958</v>
      </c>
    </row>
    <row r="25" spans="8:13" x14ac:dyDescent="0.2">
      <c r="K25">
        <v>50</v>
      </c>
      <c r="L25" s="29">
        <v>4058.1</v>
      </c>
      <c r="M25" s="29">
        <f t="shared" si="0"/>
        <v>96136.388999999952</v>
      </c>
    </row>
    <row r="26" spans="8:13" x14ac:dyDescent="0.2">
      <c r="K26">
        <v>51</v>
      </c>
      <c r="L26" s="29">
        <v>4058.1</v>
      </c>
      <c r="M26" s="29">
        <f t="shared" si="0"/>
        <v>100316.23199999995</v>
      </c>
    </row>
    <row r="27" spans="8:13" x14ac:dyDescent="0.2">
      <c r="K27">
        <v>52</v>
      </c>
      <c r="L27" s="29">
        <v>4058.1</v>
      </c>
      <c r="M27" s="29">
        <f t="shared" si="0"/>
        <v>104496.07499999994</v>
      </c>
    </row>
    <row r="28" spans="8:13" x14ac:dyDescent="0.2">
      <c r="K28">
        <v>53</v>
      </c>
      <c r="L28" s="29">
        <v>4058.1</v>
      </c>
      <c r="M28" s="29">
        <f t="shared" si="0"/>
        <v>108675.91799999993</v>
      </c>
    </row>
    <row r="29" spans="8:13" x14ac:dyDescent="0.2">
      <c r="K29">
        <v>54</v>
      </c>
      <c r="L29" s="29">
        <v>4058.1</v>
      </c>
      <c r="M29" s="29">
        <f t="shared" si="0"/>
        <v>112855.76099999993</v>
      </c>
    </row>
    <row r="30" spans="8:13" x14ac:dyDescent="0.2">
      <c r="K30">
        <v>55</v>
      </c>
      <c r="L30" s="29">
        <v>4058.1</v>
      </c>
      <c r="M30" s="29">
        <f t="shared" si="0"/>
        <v>117035.60399999992</v>
      </c>
    </row>
    <row r="31" spans="8:13" x14ac:dyDescent="0.2">
      <c r="K31">
        <v>56</v>
      </c>
      <c r="L31" s="29">
        <v>4058.1</v>
      </c>
      <c r="M31" s="29">
        <f t="shared" si="0"/>
        <v>121215.44699999991</v>
      </c>
    </row>
    <row r="32" spans="8:13" x14ac:dyDescent="0.2">
      <c r="K32">
        <v>57</v>
      </c>
      <c r="L32" s="29">
        <v>4058.1</v>
      </c>
      <c r="M32" s="29">
        <f t="shared" si="0"/>
        <v>125395.28999999991</v>
      </c>
    </row>
    <row r="33" spans="11:13" x14ac:dyDescent="0.2">
      <c r="K33">
        <v>58</v>
      </c>
      <c r="L33" s="29">
        <v>4058.1</v>
      </c>
      <c r="M33" s="29">
        <f t="shared" si="0"/>
        <v>129575.1329999999</v>
      </c>
    </row>
    <row r="34" spans="11:13" x14ac:dyDescent="0.2">
      <c r="K34">
        <v>59</v>
      </c>
      <c r="L34" s="29">
        <v>4058.1</v>
      </c>
      <c r="M34" s="29">
        <f t="shared" si="0"/>
        <v>133754.97599999991</v>
      </c>
    </row>
    <row r="35" spans="11:13" x14ac:dyDescent="0.2">
      <c r="K35">
        <v>60</v>
      </c>
      <c r="L35" s="29">
        <v>4058.1</v>
      </c>
      <c r="M35" s="29">
        <f t="shared" si="0"/>
        <v>137934.8189999999</v>
      </c>
    </row>
    <row r="36" spans="11:13" x14ac:dyDescent="0.2">
      <c r="K36">
        <v>61</v>
      </c>
      <c r="L36" s="29">
        <v>4058.1</v>
      </c>
      <c r="M36" s="29">
        <f t="shared" si="0"/>
        <v>142114.66199999989</v>
      </c>
    </row>
    <row r="37" spans="11:13" x14ac:dyDescent="0.2">
      <c r="K37">
        <v>62</v>
      </c>
      <c r="L37" s="29">
        <v>4058.1</v>
      </c>
      <c r="M37" s="29">
        <f t="shared" si="0"/>
        <v>146294.50499999989</v>
      </c>
    </row>
    <row r="38" spans="11:13" x14ac:dyDescent="0.2">
      <c r="K38">
        <v>63</v>
      </c>
      <c r="L38" s="29">
        <v>4058.1</v>
      </c>
      <c r="M38" s="29">
        <f t="shared" si="0"/>
        <v>150474.34799999988</v>
      </c>
    </row>
    <row r="39" spans="11:13" x14ac:dyDescent="0.2">
      <c r="K39">
        <v>64</v>
      </c>
      <c r="L39" s="29">
        <v>4058.1</v>
      </c>
      <c r="M39" s="29">
        <f t="shared" si="0"/>
        <v>154654.19099999988</v>
      </c>
    </row>
    <row r="40" spans="11:13" x14ac:dyDescent="0.2">
      <c r="K40">
        <v>65</v>
      </c>
      <c r="L40" s="29">
        <v>4058.1</v>
      </c>
      <c r="M40" s="29">
        <f t="shared" si="0"/>
        <v>158834.03399999987</v>
      </c>
    </row>
  </sheetData>
  <mergeCells count="2">
    <mergeCell ref="A1:E1"/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7D7B-A0E2-3541-B1B4-1B4BA4F0563D}">
  <dimension ref="A1:L27"/>
  <sheetViews>
    <sheetView workbookViewId="0">
      <selection activeCell="G4" sqref="G4"/>
    </sheetView>
  </sheetViews>
  <sheetFormatPr baseColWidth="10" defaultRowHeight="16" x14ac:dyDescent="0.2"/>
  <cols>
    <col min="2" max="2" width="20.33203125" customWidth="1"/>
    <col min="3" max="3" width="20.6640625" customWidth="1"/>
    <col min="4" max="4" width="25.33203125" customWidth="1"/>
    <col min="6" max="6" width="44.5" customWidth="1"/>
    <col min="7" max="7" width="33.6640625" customWidth="1"/>
    <col min="8" max="8" width="17.5" customWidth="1"/>
    <col min="10" max="10" width="32.5" customWidth="1"/>
    <col min="12" max="12" width="21.5" customWidth="1"/>
  </cols>
  <sheetData>
    <row r="1" spans="1:12" x14ac:dyDescent="0.2">
      <c r="A1" t="s">
        <v>221</v>
      </c>
      <c r="B1" t="s">
        <v>0</v>
      </c>
      <c r="C1" t="s">
        <v>220</v>
      </c>
      <c r="D1" t="s">
        <v>1</v>
      </c>
      <c r="F1" t="s">
        <v>222</v>
      </c>
      <c r="G1" t="s">
        <v>223</v>
      </c>
      <c r="H1" t="s">
        <v>224</v>
      </c>
      <c r="J1" t="s">
        <v>225</v>
      </c>
      <c r="L1" t="s">
        <v>226</v>
      </c>
    </row>
    <row r="2" spans="1:12" x14ac:dyDescent="0.2">
      <c r="A2">
        <v>0</v>
      </c>
      <c r="B2">
        <v>650000</v>
      </c>
    </row>
    <row r="3" spans="1:12" x14ac:dyDescent="0.2">
      <c r="A3">
        <v>1</v>
      </c>
      <c r="B3">
        <v>635414.63</v>
      </c>
      <c r="C3">
        <v>14585.37</v>
      </c>
      <c r="D3">
        <v>29250</v>
      </c>
    </row>
    <row r="4" spans="1:12" x14ac:dyDescent="0.2">
      <c r="A4">
        <v>2</v>
      </c>
      <c r="B4">
        <f>B3-C4</f>
        <v>620172.92012000002</v>
      </c>
      <c r="C4">
        <f>43835.36823-D4</f>
        <v>15241.709880000002</v>
      </c>
      <c r="D4">
        <f>B3*0.045</f>
        <v>28593.658349999998</v>
      </c>
    </row>
    <row r="5" spans="1:12" x14ac:dyDescent="0.2">
      <c r="A5">
        <v>3</v>
      </c>
      <c r="B5">
        <f t="shared" ref="B5:B27" si="0">B4-C5</f>
        <v>604245.33152540005</v>
      </c>
      <c r="C5">
        <f t="shared" ref="C5:C27" si="1">43835.37-D5</f>
        <v>15927.588594600002</v>
      </c>
      <c r="D5">
        <f t="shared" ref="D5:D27" si="2">B4*0.045</f>
        <v>27907.781405400001</v>
      </c>
    </row>
    <row r="6" spans="1:12" x14ac:dyDescent="0.2">
      <c r="A6">
        <v>4</v>
      </c>
      <c r="B6">
        <f t="shared" si="0"/>
        <v>587601.00144404301</v>
      </c>
      <c r="C6">
        <f t="shared" si="1"/>
        <v>16644.330081357002</v>
      </c>
      <c r="D6">
        <f t="shared" si="2"/>
        <v>27191.039918643</v>
      </c>
    </row>
    <row r="7" spans="1:12" x14ac:dyDescent="0.2">
      <c r="A7">
        <v>5</v>
      </c>
      <c r="B7">
        <f t="shared" si="0"/>
        <v>570207.67650902492</v>
      </c>
      <c r="C7">
        <f t="shared" si="1"/>
        <v>17393.324935018067</v>
      </c>
      <c r="D7">
        <f t="shared" si="2"/>
        <v>26442.045064981936</v>
      </c>
      <c r="F7">
        <v>470207.6765</v>
      </c>
      <c r="G7">
        <f t="shared" ref="G7:G27" si="3">43835.37-H7</f>
        <v>43835.37</v>
      </c>
      <c r="H7">
        <f t="shared" ref="H7:H27" si="4">F6*0.045</f>
        <v>0</v>
      </c>
      <c r="J7">
        <v>100000</v>
      </c>
      <c r="L7">
        <f>J7-B7</f>
        <v>-470207.67650902492</v>
      </c>
    </row>
    <row r="8" spans="1:12" x14ac:dyDescent="0.2">
      <c r="A8">
        <v>6</v>
      </c>
      <c r="B8">
        <f t="shared" si="0"/>
        <v>552031.65195193107</v>
      </c>
      <c r="C8">
        <f t="shared" si="1"/>
        <v>18176.024557093882</v>
      </c>
      <c r="D8">
        <f t="shared" si="2"/>
        <v>25659.34544290612</v>
      </c>
      <c r="F8">
        <f t="shared" ref="F8:F27" si="5">F7-G8</f>
        <v>447531.65194249997</v>
      </c>
      <c r="G8">
        <f t="shared" si="3"/>
        <v>22676.024557500004</v>
      </c>
      <c r="H8">
        <f t="shared" si="4"/>
        <v>21159.345442499998</v>
      </c>
      <c r="J8">
        <f>J7*1.05</f>
        <v>105000</v>
      </c>
      <c r="L8">
        <f t="shared" ref="L8:L27" si="6">J8-B8</f>
        <v>-447031.65195193107</v>
      </c>
    </row>
    <row r="9" spans="1:12" x14ac:dyDescent="0.2">
      <c r="A9">
        <v>7</v>
      </c>
      <c r="B9">
        <f t="shared" si="0"/>
        <v>533037.70628976799</v>
      </c>
      <c r="C9">
        <f t="shared" si="1"/>
        <v>18993.945662163107</v>
      </c>
      <c r="D9">
        <f t="shared" si="2"/>
        <v>24841.424337836896</v>
      </c>
      <c r="F9">
        <f t="shared" si="5"/>
        <v>423835.20627991244</v>
      </c>
      <c r="G9">
        <f t="shared" si="3"/>
        <v>23696.445662587506</v>
      </c>
      <c r="H9">
        <f t="shared" si="4"/>
        <v>20138.924337412496</v>
      </c>
      <c r="J9">
        <f t="shared" ref="J9:J27" si="7">J8*1.05</f>
        <v>110250</v>
      </c>
      <c r="L9">
        <f t="shared" si="6"/>
        <v>-422787.70628976799</v>
      </c>
    </row>
    <row r="10" spans="1:12" x14ac:dyDescent="0.2">
      <c r="A10">
        <v>8</v>
      </c>
      <c r="B10">
        <f t="shared" si="0"/>
        <v>513189.03307280754</v>
      </c>
      <c r="C10">
        <f t="shared" si="1"/>
        <v>19848.673216960444</v>
      </c>
      <c r="D10">
        <f t="shared" si="2"/>
        <v>23986.696783039559</v>
      </c>
      <c r="F10">
        <f t="shared" si="5"/>
        <v>399072.42056250852</v>
      </c>
      <c r="G10">
        <f t="shared" si="3"/>
        <v>24762.785717403942</v>
      </c>
      <c r="H10">
        <f t="shared" si="4"/>
        <v>19072.584282596061</v>
      </c>
      <c r="J10">
        <f t="shared" si="7"/>
        <v>115762.5</v>
      </c>
      <c r="L10">
        <f t="shared" si="6"/>
        <v>-397426.53307280754</v>
      </c>
    </row>
    <row r="11" spans="1:12" x14ac:dyDescent="0.2">
      <c r="A11">
        <v>9</v>
      </c>
      <c r="B11">
        <f t="shared" si="0"/>
        <v>492447.16956108389</v>
      </c>
      <c r="C11">
        <f t="shared" si="1"/>
        <v>20741.863511723663</v>
      </c>
      <c r="D11">
        <f t="shared" si="2"/>
        <v>23093.50648827634</v>
      </c>
      <c r="F11">
        <f t="shared" si="5"/>
        <v>373195.30948782142</v>
      </c>
      <c r="G11">
        <f t="shared" si="3"/>
        <v>25877.11107468712</v>
      </c>
      <c r="H11">
        <f t="shared" si="4"/>
        <v>17958.258925312883</v>
      </c>
      <c r="J11">
        <f t="shared" si="7"/>
        <v>121550.625</v>
      </c>
      <c r="L11">
        <f t="shared" si="6"/>
        <v>-370896.54456108389</v>
      </c>
    </row>
    <row r="12" spans="1:12" x14ac:dyDescent="0.2">
      <c r="A12">
        <v>10</v>
      </c>
      <c r="B12">
        <f t="shared" si="0"/>
        <v>470771.92219133268</v>
      </c>
      <c r="C12">
        <f t="shared" si="1"/>
        <v>21675.247369751229</v>
      </c>
      <c r="D12">
        <f t="shared" si="2"/>
        <v>22160.122630248774</v>
      </c>
      <c r="F12">
        <f t="shared" si="5"/>
        <v>346153.72841477336</v>
      </c>
      <c r="G12">
        <f t="shared" si="3"/>
        <v>27041.581073048041</v>
      </c>
      <c r="H12">
        <f t="shared" si="4"/>
        <v>16793.788926951962</v>
      </c>
      <c r="J12">
        <f t="shared" si="7"/>
        <v>127628.15625</v>
      </c>
      <c r="L12">
        <f t="shared" si="6"/>
        <v>-343143.76594133268</v>
      </c>
    </row>
    <row r="13" spans="1:12" x14ac:dyDescent="0.2">
      <c r="A13">
        <v>11</v>
      </c>
      <c r="B13">
        <f t="shared" si="0"/>
        <v>448121.28868994262</v>
      </c>
      <c r="C13">
        <f t="shared" si="1"/>
        <v>22650.633501390032</v>
      </c>
      <c r="D13">
        <f t="shared" si="2"/>
        <v>21184.736498609971</v>
      </c>
      <c r="F13">
        <f t="shared" si="5"/>
        <v>317895.27619343816</v>
      </c>
      <c r="G13">
        <f t="shared" si="3"/>
        <v>28258.452221335203</v>
      </c>
      <c r="H13">
        <f t="shared" si="4"/>
        <v>15576.9177786648</v>
      </c>
      <c r="J13">
        <f t="shared" si="7"/>
        <v>134009.56406249999</v>
      </c>
      <c r="L13">
        <f t="shared" si="6"/>
        <v>-314111.72462744266</v>
      </c>
    </row>
    <row r="14" spans="1:12" x14ac:dyDescent="0.2">
      <c r="A14">
        <v>12</v>
      </c>
      <c r="B14">
        <f t="shared" si="0"/>
        <v>424451.37668099004</v>
      </c>
      <c r="C14">
        <f t="shared" si="1"/>
        <v>23669.912008952586</v>
      </c>
      <c r="D14">
        <f t="shared" si="2"/>
        <v>20165.457991047417</v>
      </c>
      <c r="F14">
        <f t="shared" si="5"/>
        <v>288365.19362214289</v>
      </c>
      <c r="G14">
        <f t="shared" si="3"/>
        <v>29530.082571295286</v>
      </c>
      <c r="H14">
        <f t="shared" si="4"/>
        <v>14305.287428704716</v>
      </c>
      <c r="J14">
        <f t="shared" si="7"/>
        <v>140710.042265625</v>
      </c>
      <c r="L14">
        <f t="shared" si="6"/>
        <v>-283741.33441536501</v>
      </c>
    </row>
    <row r="15" spans="1:12" x14ac:dyDescent="0.2">
      <c r="A15">
        <v>13</v>
      </c>
      <c r="B15">
        <f t="shared" si="0"/>
        <v>399716.31863163458</v>
      </c>
      <c r="C15">
        <f t="shared" si="1"/>
        <v>24735.058049355452</v>
      </c>
      <c r="D15">
        <f t="shared" si="2"/>
        <v>19100.311950644551</v>
      </c>
      <c r="F15">
        <f t="shared" si="5"/>
        <v>257506.25733513932</v>
      </c>
      <c r="G15">
        <f t="shared" si="3"/>
        <v>30858.936287003573</v>
      </c>
      <c r="H15">
        <f t="shared" si="4"/>
        <v>12976.43371299643</v>
      </c>
      <c r="J15">
        <f t="shared" si="7"/>
        <v>147745.54437890626</v>
      </c>
      <c r="L15">
        <f t="shared" si="6"/>
        <v>-251970.77425272833</v>
      </c>
    </row>
    <row r="16" spans="1:12" x14ac:dyDescent="0.2">
      <c r="A16">
        <v>14</v>
      </c>
      <c r="B16">
        <f t="shared" si="0"/>
        <v>373868.18297005811</v>
      </c>
      <c r="C16">
        <f t="shared" si="1"/>
        <v>25848.135661576449</v>
      </c>
      <c r="D16">
        <f t="shared" si="2"/>
        <v>17987.234338423554</v>
      </c>
      <c r="F16">
        <f t="shared" si="5"/>
        <v>225258.66891522059</v>
      </c>
      <c r="G16">
        <f t="shared" si="3"/>
        <v>32247.588419918735</v>
      </c>
      <c r="H16">
        <f t="shared" si="4"/>
        <v>11587.78158008127</v>
      </c>
      <c r="J16">
        <f t="shared" si="7"/>
        <v>155132.82159785158</v>
      </c>
      <c r="L16">
        <f t="shared" si="6"/>
        <v>-218735.36137220653</v>
      </c>
    </row>
    <row r="17" spans="1:12" x14ac:dyDescent="0.2">
      <c r="A17">
        <v>15</v>
      </c>
      <c r="B17">
        <f t="shared" si="0"/>
        <v>346856.88120371074</v>
      </c>
      <c r="C17">
        <f t="shared" si="1"/>
        <v>27011.301766347387</v>
      </c>
      <c r="D17">
        <f t="shared" si="2"/>
        <v>16824.068233652615</v>
      </c>
      <c r="F17">
        <f t="shared" si="5"/>
        <v>191559.93901640552</v>
      </c>
      <c r="G17">
        <f t="shared" si="3"/>
        <v>33698.729898815072</v>
      </c>
      <c r="H17">
        <f t="shared" si="4"/>
        <v>10136.640101184927</v>
      </c>
      <c r="J17">
        <f t="shared" si="7"/>
        <v>162889.46267774416</v>
      </c>
      <c r="L17">
        <f t="shared" si="6"/>
        <v>-183967.41852596658</v>
      </c>
    </row>
    <row r="18" spans="1:12" x14ac:dyDescent="0.2">
      <c r="A18">
        <v>16</v>
      </c>
      <c r="B18">
        <f t="shared" si="0"/>
        <v>318630.07085787773</v>
      </c>
      <c r="C18">
        <f t="shared" si="1"/>
        <v>28226.810345833022</v>
      </c>
      <c r="D18">
        <f t="shared" si="2"/>
        <v>15608.559654166982</v>
      </c>
      <c r="F18">
        <f t="shared" si="5"/>
        <v>156344.76627214375</v>
      </c>
      <c r="G18">
        <f t="shared" si="3"/>
        <v>35215.172744261756</v>
      </c>
      <c r="H18">
        <f t="shared" si="4"/>
        <v>8620.1972557382487</v>
      </c>
      <c r="J18">
        <f t="shared" si="7"/>
        <v>171033.93581163138</v>
      </c>
      <c r="L18">
        <f t="shared" si="6"/>
        <v>-147596.13504624635</v>
      </c>
    </row>
    <row r="19" spans="1:12" x14ac:dyDescent="0.2">
      <c r="A19">
        <v>17</v>
      </c>
      <c r="B19">
        <f t="shared" si="0"/>
        <v>289133.0540464822</v>
      </c>
      <c r="C19">
        <f t="shared" si="1"/>
        <v>29497.016811395508</v>
      </c>
      <c r="D19">
        <f t="shared" si="2"/>
        <v>14338.353188604497</v>
      </c>
      <c r="F19">
        <f t="shared" si="5"/>
        <v>119544.91075439022</v>
      </c>
      <c r="G19">
        <f t="shared" si="3"/>
        <v>36799.855517753531</v>
      </c>
      <c r="H19">
        <f t="shared" si="4"/>
        <v>7035.514482246469</v>
      </c>
      <c r="J19">
        <f t="shared" si="7"/>
        <v>179585.63260221295</v>
      </c>
      <c r="L19">
        <f t="shared" si="6"/>
        <v>-109547.42144426925</v>
      </c>
    </row>
    <row r="20" spans="1:12" x14ac:dyDescent="0.2">
      <c r="A20">
        <v>18</v>
      </c>
      <c r="B20">
        <f t="shared" si="0"/>
        <v>258308.6714785739</v>
      </c>
      <c r="C20">
        <f t="shared" si="1"/>
        <v>30824.382567908302</v>
      </c>
      <c r="D20">
        <f t="shared" si="2"/>
        <v>13010.987432091699</v>
      </c>
      <c r="F20">
        <f t="shared" si="5"/>
        <v>81089.061738337768</v>
      </c>
      <c r="G20">
        <f t="shared" si="3"/>
        <v>38455.849016052445</v>
      </c>
      <c r="H20">
        <f t="shared" si="4"/>
        <v>5379.5209839475601</v>
      </c>
      <c r="J20">
        <f t="shared" si="7"/>
        <v>188564.91423232362</v>
      </c>
      <c r="L20">
        <f t="shared" si="6"/>
        <v>-69743.757246250287</v>
      </c>
    </row>
    <row r="21" spans="1:12" x14ac:dyDescent="0.2">
      <c r="A21">
        <v>19</v>
      </c>
      <c r="B21">
        <f t="shared" si="0"/>
        <v>226097.19169510971</v>
      </c>
      <c r="C21">
        <f t="shared" si="1"/>
        <v>32211.479783464179</v>
      </c>
      <c r="D21">
        <f t="shared" si="2"/>
        <v>11623.890216535825</v>
      </c>
      <c r="F21">
        <f t="shared" si="5"/>
        <v>40902.699516562963</v>
      </c>
      <c r="G21">
        <f t="shared" si="3"/>
        <v>40186.362221774805</v>
      </c>
      <c r="H21">
        <f t="shared" si="4"/>
        <v>3649.0077782251997</v>
      </c>
      <c r="J21">
        <f t="shared" si="7"/>
        <v>197993.1599439398</v>
      </c>
      <c r="L21">
        <f t="shared" si="6"/>
        <v>-28104.03175116991</v>
      </c>
    </row>
    <row r="22" spans="1:12" x14ac:dyDescent="0.2">
      <c r="A22">
        <v>20</v>
      </c>
      <c r="B22">
        <f t="shared" si="0"/>
        <v>192436.19532138965</v>
      </c>
      <c r="C22">
        <f t="shared" si="1"/>
        <v>33660.996373720067</v>
      </c>
      <c r="D22">
        <f t="shared" si="2"/>
        <v>10174.373626279936</v>
      </c>
      <c r="F22">
        <f t="shared" si="5"/>
        <v>-1092.0490051917077</v>
      </c>
      <c r="G22">
        <f t="shared" si="3"/>
        <v>41994.748521754671</v>
      </c>
      <c r="H22">
        <f t="shared" si="4"/>
        <v>1840.6214782453333</v>
      </c>
      <c r="J22">
        <f t="shared" si="7"/>
        <v>207892.8179411368</v>
      </c>
      <c r="L22">
        <f t="shared" si="6"/>
        <v>15456.622619747155</v>
      </c>
    </row>
    <row r="23" spans="1:12" x14ac:dyDescent="0.2">
      <c r="A23">
        <v>21</v>
      </c>
      <c r="B23">
        <f t="shared" si="0"/>
        <v>157260.45411085218</v>
      </c>
      <c r="C23">
        <f t="shared" si="1"/>
        <v>35175.741210537468</v>
      </c>
      <c r="D23">
        <f t="shared" si="2"/>
        <v>8659.6287894625348</v>
      </c>
      <c r="F23">
        <f t="shared" si="5"/>
        <v>-44976.561210425338</v>
      </c>
      <c r="G23">
        <f t="shared" si="3"/>
        <v>43884.51220523363</v>
      </c>
      <c r="H23">
        <f t="shared" si="4"/>
        <v>-49.142205233626846</v>
      </c>
      <c r="J23">
        <f t="shared" si="7"/>
        <v>218287.45883819365</v>
      </c>
      <c r="L23">
        <f t="shared" si="6"/>
        <v>61027.004727341468</v>
      </c>
    </row>
    <row r="24" spans="1:12" x14ac:dyDescent="0.2">
      <c r="A24">
        <v>22</v>
      </c>
      <c r="B24">
        <f t="shared" si="0"/>
        <v>120501.80454584052</v>
      </c>
      <c r="C24">
        <f t="shared" si="1"/>
        <v>36758.649565011656</v>
      </c>
      <c r="D24">
        <f t="shared" si="2"/>
        <v>7076.7204349883477</v>
      </c>
      <c r="F24">
        <f t="shared" si="5"/>
        <v>-90835.876464894478</v>
      </c>
      <c r="G24">
        <f t="shared" si="3"/>
        <v>45859.31525446914</v>
      </c>
      <c r="H24">
        <f t="shared" si="4"/>
        <v>-2023.9452544691401</v>
      </c>
      <c r="J24">
        <f t="shared" si="7"/>
        <v>229201.83178010333</v>
      </c>
      <c r="L24">
        <f t="shared" si="6"/>
        <v>108700.0272342628</v>
      </c>
    </row>
    <row r="25" spans="1:12" x14ac:dyDescent="0.2">
      <c r="A25">
        <v>23</v>
      </c>
      <c r="B25">
        <f t="shared" si="0"/>
        <v>82089.015750403341</v>
      </c>
      <c r="C25">
        <f t="shared" si="1"/>
        <v>38412.788795437176</v>
      </c>
      <c r="D25">
        <f t="shared" si="2"/>
        <v>5422.5812045628236</v>
      </c>
      <c r="F25">
        <f t="shared" si="5"/>
        <v>-138758.86090581474</v>
      </c>
      <c r="G25">
        <f t="shared" si="3"/>
        <v>47922.984440920256</v>
      </c>
      <c r="H25">
        <f t="shared" si="4"/>
        <v>-4087.6144409202516</v>
      </c>
      <c r="J25">
        <f t="shared" si="7"/>
        <v>240661.9233691085</v>
      </c>
      <c r="L25">
        <f t="shared" si="6"/>
        <v>158572.90761870515</v>
      </c>
    </row>
    <row r="26" spans="1:12" x14ac:dyDescent="0.2">
      <c r="A26">
        <v>24</v>
      </c>
      <c r="B26">
        <f t="shared" si="0"/>
        <v>41947.651459171488</v>
      </c>
      <c r="C26">
        <f t="shared" si="1"/>
        <v>40141.364291231854</v>
      </c>
      <c r="D26">
        <f t="shared" si="2"/>
        <v>3694.0057087681503</v>
      </c>
      <c r="F26">
        <f t="shared" si="5"/>
        <v>-188838.37964657642</v>
      </c>
      <c r="G26">
        <f t="shared" si="3"/>
        <v>50079.518740761669</v>
      </c>
      <c r="H26">
        <f t="shared" si="4"/>
        <v>-6244.1487407616632</v>
      </c>
      <c r="J26">
        <f t="shared" si="7"/>
        <v>252695.01953756393</v>
      </c>
      <c r="L26">
        <f t="shared" si="6"/>
        <v>210747.36807839244</v>
      </c>
    </row>
    <row r="27" spans="1:12" x14ac:dyDescent="0.2">
      <c r="A27">
        <v>25</v>
      </c>
      <c r="B27">
        <f t="shared" si="0"/>
        <v>-7.4225165801180992E-2</v>
      </c>
      <c r="C27">
        <f t="shared" si="1"/>
        <v>41947.725684337289</v>
      </c>
      <c r="D27">
        <f t="shared" si="2"/>
        <v>1887.644315662717</v>
      </c>
      <c r="F27">
        <f t="shared" si="5"/>
        <v>-241171.47673067235</v>
      </c>
      <c r="G27">
        <f t="shared" si="3"/>
        <v>52333.097084095942</v>
      </c>
      <c r="H27">
        <f t="shared" si="4"/>
        <v>-8497.7270840959391</v>
      </c>
      <c r="J27">
        <f t="shared" si="7"/>
        <v>265329.77051444212</v>
      </c>
      <c r="L27">
        <f t="shared" si="6"/>
        <v>265329.84473960794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E746-A977-0E4D-BDB1-09A089757356}">
  <dimension ref="A1:BU1000"/>
  <sheetViews>
    <sheetView workbookViewId="0">
      <selection activeCell="C6" sqref="C6"/>
    </sheetView>
  </sheetViews>
  <sheetFormatPr baseColWidth="10" defaultColWidth="14.5" defaultRowHeight="15" customHeight="1" x14ac:dyDescent="0.2"/>
  <cols>
    <col min="1" max="63" width="10.83203125" customWidth="1"/>
    <col min="64" max="64" width="17.6640625" customWidth="1"/>
    <col min="65" max="65" width="17" customWidth="1"/>
    <col min="66" max="73" width="10.83203125" customWidth="1"/>
  </cols>
  <sheetData>
    <row r="1" spans="1:73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73" ht="1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 ht="15" customHeight="1" x14ac:dyDescent="0.2">
      <c r="A3" s="1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44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  <c r="BG3" s="3" t="s">
        <v>58</v>
      </c>
      <c r="BH3" s="2"/>
      <c r="BI3" s="4" t="s">
        <v>59</v>
      </c>
      <c r="BJ3" s="2"/>
      <c r="BK3" s="5" t="s">
        <v>60</v>
      </c>
      <c r="BL3" s="2"/>
      <c r="BM3" s="2" t="s">
        <v>61</v>
      </c>
      <c r="BN3" s="2"/>
      <c r="BO3" s="2" t="s">
        <v>62</v>
      </c>
      <c r="BP3" s="2"/>
      <c r="BQ3" s="2"/>
      <c r="BR3" s="2"/>
      <c r="BS3" s="2"/>
      <c r="BT3" s="2"/>
      <c r="BU3" s="2"/>
    </row>
    <row r="4" spans="1:73" ht="15" customHeight="1" x14ac:dyDescent="0.2">
      <c r="A4" s="3" t="s">
        <v>63</v>
      </c>
      <c r="B4" s="1">
        <v>1977</v>
      </c>
      <c r="C4" s="1">
        <v>1977</v>
      </c>
      <c r="D4" s="1">
        <v>1978</v>
      </c>
      <c r="E4" s="1">
        <v>1978</v>
      </c>
      <c r="F4" s="1">
        <v>1979</v>
      </c>
      <c r="G4" s="1">
        <v>1979</v>
      </c>
      <c r="H4" s="1">
        <v>1980</v>
      </c>
      <c r="I4" s="1">
        <v>1980</v>
      </c>
      <c r="J4" s="1">
        <v>1980</v>
      </c>
      <c r="K4" s="1">
        <v>1980</v>
      </c>
      <c r="L4" s="1">
        <v>1980</v>
      </c>
      <c r="M4" s="1">
        <v>1980</v>
      </c>
      <c r="N4" s="1">
        <v>1980</v>
      </c>
      <c r="O4" s="1">
        <v>1980</v>
      </c>
      <c r="P4" s="1">
        <v>1981</v>
      </c>
      <c r="Q4" s="1">
        <v>1981</v>
      </c>
      <c r="R4" s="1">
        <v>1981</v>
      </c>
      <c r="S4" s="1">
        <v>1981</v>
      </c>
      <c r="T4" s="1">
        <v>1981</v>
      </c>
      <c r="U4" s="1">
        <v>1981</v>
      </c>
      <c r="V4" s="1">
        <v>1981</v>
      </c>
      <c r="W4" s="1">
        <v>1982</v>
      </c>
      <c r="X4" s="1">
        <v>1982</v>
      </c>
      <c r="Y4" s="1">
        <v>1983</v>
      </c>
      <c r="Z4" s="1">
        <v>1983</v>
      </c>
      <c r="AA4" s="1">
        <v>1983</v>
      </c>
      <c r="AB4" s="1">
        <v>1983</v>
      </c>
      <c r="AC4" s="1">
        <v>1984</v>
      </c>
      <c r="AD4" s="1">
        <v>1984</v>
      </c>
      <c r="AE4" s="1">
        <v>1984</v>
      </c>
      <c r="AF4" s="1">
        <v>1984</v>
      </c>
      <c r="AG4" s="1">
        <v>1984</v>
      </c>
      <c r="AH4" s="1">
        <v>1984</v>
      </c>
      <c r="AI4" s="1">
        <v>1985</v>
      </c>
      <c r="AJ4" s="1">
        <v>1985</v>
      </c>
      <c r="AK4" s="1">
        <v>1985</v>
      </c>
      <c r="AL4" s="1">
        <v>1985</v>
      </c>
      <c r="AM4" s="1">
        <v>1986</v>
      </c>
      <c r="AN4" s="1">
        <v>1986</v>
      </c>
      <c r="AO4" s="1">
        <v>1986</v>
      </c>
      <c r="AP4" s="1">
        <v>1986</v>
      </c>
      <c r="AQ4" s="1">
        <v>1986</v>
      </c>
      <c r="AR4" s="1">
        <v>1987</v>
      </c>
      <c r="AS4" s="1">
        <v>1987</v>
      </c>
      <c r="AT4" s="1">
        <v>1987</v>
      </c>
      <c r="AU4" s="1">
        <v>1987</v>
      </c>
      <c r="AV4" s="1">
        <v>1988</v>
      </c>
      <c r="AW4" s="1">
        <v>1988</v>
      </c>
      <c r="AX4" s="1">
        <v>1990</v>
      </c>
      <c r="AY4" s="1">
        <v>1990</v>
      </c>
      <c r="AZ4" s="1">
        <v>1990</v>
      </c>
      <c r="BA4" s="1">
        <v>1991</v>
      </c>
      <c r="BB4" s="1">
        <v>1992</v>
      </c>
      <c r="BC4" s="1">
        <v>1993</v>
      </c>
      <c r="BD4" s="1">
        <v>1996</v>
      </c>
      <c r="BE4" s="1">
        <v>1997</v>
      </c>
      <c r="BF4" s="1">
        <v>1997</v>
      </c>
      <c r="BG4" s="1">
        <v>1999</v>
      </c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 ht="15" customHeight="1" x14ac:dyDescent="0.2">
      <c r="A5" s="1">
        <v>2016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2"/>
      <c r="BI5" s="2">
        <f t="shared" ref="BI5:BI58" si="0">SUM(B5:BG5)</f>
        <v>0</v>
      </c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ht="15" customHeight="1" x14ac:dyDescent="0.2">
      <c r="A6" s="1">
        <v>2017</v>
      </c>
      <c r="B6" s="1">
        <v>37.5</v>
      </c>
      <c r="C6" s="1">
        <v>37.5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2"/>
      <c r="BI6" s="2">
        <f t="shared" si="0"/>
        <v>75</v>
      </c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 ht="15" customHeight="1" x14ac:dyDescent="0.2">
      <c r="A7" s="1">
        <v>2018</v>
      </c>
      <c r="B7" s="1">
        <v>37.5</v>
      </c>
      <c r="C7" s="1">
        <v>37.5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2"/>
      <c r="BI7" s="2">
        <f t="shared" si="0"/>
        <v>75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ht="15" customHeight="1" x14ac:dyDescent="0.2">
      <c r="A8" s="1">
        <v>2019</v>
      </c>
      <c r="B8" s="1">
        <v>37.5</v>
      </c>
      <c r="C8" s="1">
        <v>37.5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2"/>
      <c r="BI8" s="2">
        <f t="shared" si="0"/>
        <v>75</v>
      </c>
      <c r="BJ8" s="2"/>
      <c r="BK8" s="2"/>
      <c r="BL8" s="2"/>
      <c r="BM8" s="2"/>
      <c r="BN8" s="2" t="s">
        <v>64</v>
      </c>
      <c r="BO8" s="2"/>
      <c r="BP8" s="2"/>
      <c r="BQ8" s="2" t="s">
        <v>65</v>
      </c>
      <c r="BR8" s="2"/>
      <c r="BS8" s="2"/>
      <c r="BT8" s="2"/>
      <c r="BU8" s="2"/>
    </row>
    <row r="9" spans="1:73" ht="15" customHeight="1" x14ac:dyDescent="0.2">
      <c r="A9" s="1">
        <v>2020</v>
      </c>
      <c r="B9" s="1">
        <v>37.5</v>
      </c>
      <c r="C9" s="1">
        <v>37.5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2"/>
      <c r="BI9" s="2">
        <f t="shared" si="0"/>
        <v>75</v>
      </c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 ht="15" customHeight="1" x14ac:dyDescent="0.2">
      <c r="A10" s="1">
        <v>2021</v>
      </c>
      <c r="B10" s="1">
        <v>37.5</v>
      </c>
      <c r="C10" s="1">
        <v>37.5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2"/>
      <c r="BI10" s="2">
        <f t="shared" si="0"/>
        <v>75</v>
      </c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 ht="15" customHeight="1" x14ac:dyDescent="0.2">
      <c r="A11" s="1">
        <v>2022</v>
      </c>
      <c r="B11" s="1">
        <v>37.5</v>
      </c>
      <c r="C11" s="1">
        <v>37.5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2"/>
      <c r="BI11" s="2">
        <f t="shared" si="0"/>
        <v>75</v>
      </c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 spans="1:73" ht="15" customHeight="1" x14ac:dyDescent="0.2">
      <c r="A12" s="1">
        <v>2023</v>
      </c>
      <c r="B12" s="1">
        <v>37.5</v>
      </c>
      <c r="C12" s="1">
        <v>37.5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2"/>
      <c r="BI12" s="2">
        <f t="shared" si="0"/>
        <v>75</v>
      </c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</row>
    <row r="13" spans="1:73" ht="15.75" customHeight="1" x14ac:dyDescent="0.2">
      <c r="A13" s="1">
        <v>2024</v>
      </c>
      <c r="B13" s="1">
        <v>37.5</v>
      </c>
      <c r="C13" s="1">
        <v>37.5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2"/>
      <c r="BI13" s="2">
        <f t="shared" si="0"/>
        <v>75</v>
      </c>
      <c r="BJ13" s="2"/>
      <c r="BK13" s="2">
        <f t="shared" ref="BK13:BK58" si="1">BI13/(1.025)^(A13-2024)</f>
        <v>75</v>
      </c>
      <c r="BL13" s="2"/>
      <c r="BM13" s="2">
        <f>SUM(BK13:BK58)</f>
        <v>27760.955212566365</v>
      </c>
      <c r="BN13" s="2">
        <v>26000</v>
      </c>
      <c r="BO13" s="2">
        <f t="shared" ref="BO13:BO58" si="2">BN13- BI13</f>
        <v>25925</v>
      </c>
      <c r="BP13" s="2"/>
      <c r="BQ13" s="6">
        <f>IRR(BO13:BO58)</f>
        <v>2.8577489450880567E-2</v>
      </c>
      <c r="BR13" s="2"/>
      <c r="BS13" s="2">
        <f t="shared" ref="BS13:BS58" si="3">BI13-BN13</f>
        <v>-25925</v>
      </c>
      <c r="BT13" s="2"/>
      <c r="BU13" s="6">
        <f>IRR(BS13:BS58)</f>
        <v>2.8577489450880567E-2</v>
      </c>
    </row>
    <row r="14" spans="1:73" ht="15" customHeight="1" x14ac:dyDescent="0.2">
      <c r="A14" s="1">
        <v>2025</v>
      </c>
      <c r="B14" s="1">
        <v>37.5</v>
      </c>
      <c r="C14" s="1">
        <v>37.5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2"/>
      <c r="BI14" s="2">
        <f t="shared" si="0"/>
        <v>75</v>
      </c>
      <c r="BJ14" s="2"/>
      <c r="BK14" s="2">
        <f t="shared" si="1"/>
        <v>73.170731707317074</v>
      </c>
      <c r="BL14" s="2"/>
      <c r="BM14" s="2"/>
      <c r="BN14" s="2"/>
      <c r="BO14" s="2">
        <f t="shared" si="2"/>
        <v>-75</v>
      </c>
      <c r="BP14" s="2"/>
      <c r="BQ14" s="6"/>
      <c r="BR14" s="2"/>
      <c r="BS14" s="2">
        <f t="shared" si="3"/>
        <v>75</v>
      </c>
      <c r="BT14" s="2"/>
      <c r="BU14" s="2"/>
    </row>
    <row r="15" spans="1:73" ht="15" customHeight="1" x14ac:dyDescent="0.2">
      <c r="A15" s="1">
        <v>2026</v>
      </c>
      <c r="B15" s="1">
        <f>37.5</f>
        <v>37.5</v>
      </c>
      <c r="C15" s="1">
        <v>37.5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2"/>
      <c r="BI15" s="2">
        <f t="shared" si="0"/>
        <v>75</v>
      </c>
      <c r="BJ15" s="2"/>
      <c r="BK15" s="2">
        <f t="shared" si="1"/>
        <v>71.38607971445569</v>
      </c>
      <c r="BL15" s="2"/>
      <c r="BM15" s="2"/>
      <c r="BN15" s="2"/>
      <c r="BO15" s="2">
        <f t="shared" si="2"/>
        <v>-75</v>
      </c>
      <c r="BP15" s="2"/>
      <c r="BQ15" s="2"/>
      <c r="BR15" s="2"/>
      <c r="BS15" s="2">
        <f t="shared" si="3"/>
        <v>75</v>
      </c>
      <c r="BT15" s="2"/>
      <c r="BU15" s="2"/>
    </row>
    <row r="16" spans="1:73" ht="15" customHeight="1" x14ac:dyDescent="0.2">
      <c r="A16" s="1">
        <v>2027</v>
      </c>
      <c r="B16" s="1">
        <v>37.5</v>
      </c>
      <c r="C16" s="1">
        <v>37.5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2"/>
      <c r="BI16" s="2">
        <f t="shared" si="0"/>
        <v>75</v>
      </c>
      <c r="BJ16" s="2"/>
      <c r="BK16" s="2">
        <f t="shared" si="1"/>
        <v>69.64495581898116</v>
      </c>
      <c r="BL16" s="2"/>
      <c r="BM16" s="2"/>
      <c r="BN16" s="2"/>
      <c r="BO16" s="2">
        <f t="shared" si="2"/>
        <v>-75</v>
      </c>
      <c r="BP16" s="2"/>
      <c r="BQ16" s="2" t="s">
        <v>66</v>
      </c>
      <c r="BR16" s="2"/>
      <c r="BS16" s="2">
        <f t="shared" si="3"/>
        <v>75</v>
      </c>
      <c r="BT16" s="2"/>
      <c r="BU16" s="2"/>
    </row>
    <row r="17" spans="1:73" ht="15" customHeight="1" x14ac:dyDescent="0.2">
      <c r="A17" s="1">
        <v>2028</v>
      </c>
      <c r="B17" s="1">
        <v>37.5</v>
      </c>
      <c r="C17" s="1">
        <v>37.5</v>
      </c>
      <c r="D17" s="1">
        <v>37.5</v>
      </c>
      <c r="E17" s="1">
        <v>37.5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2"/>
      <c r="BI17" s="2">
        <f t="shared" si="0"/>
        <v>150</v>
      </c>
      <c r="BJ17" s="2"/>
      <c r="BK17" s="2">
        <f t="shared" si="1"/>
        <v>135.89259671996325</v>
      </c>
      <c r="BL17" s="2"/>
      <c r="BM17" s="2"/>
      <c r="BN17" s="2"/>
      <c r="BO17" s="2">
        <f t="shared" si="2"/>
        <v>-150</v>
      </c>
      <c r="BP17" s="2"/>
      <c r="BQ17" s="2"/>
      <c r="BR17" s="2"/>
      <c r="BS17" s="2">
        <f t="shared" si="3"/>
        <v>150</v>
      </c>
      <c r="BT17" s="2"/>
      <c r="BU17" s="2"/>
    </row>
    <row r="18" spans="1:73" ht="15" customHeight="1" x14ac:dyDescent="0.2">
      <c r="A18" s="1">
        <v>2029</v>
      </c>
      <c r="B18" s="1">
        <v>37.5</v>
      </c>
      <c r="C18" s="1">
        <v>37.5</v>
      </c>
      <c r="D18" s="1">
        <v>37.5</v>
      </c>
      <c r="E18" s="1">
        <v>37.5</v>
      </c>
      <c r="F18" s="1">
        <v>37.5</v>
      </c>
      <c r="G18" s="1">
        <v>37.5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2"/>
      <c r="BI18" s="2">
        <f t="shared" si="0"/>
        <v>225</v>
      </c>
      <c r="BJ18" s="2"/>
      <c r="BK18" s="2">
        <f t="shared" si="1"/>
        <v>198.86721471214136</v>
      </c>
      <c r="BL18" s="2"/>
      <c r="BM18" s="2"/>
      <c r="BN18" s="2"/>
      <c r="BO18" s="2">
        <f t="shared" si="2"/>
        <v>-225</v>
      </c>
      <c r="BP18" s="2"/>
      <c r="BQ18" s="2"/>
      <c r="BR18" s="2"/>
      <c r="BS18" s="2">
        <f t="shared" si="3"/>
        <v>225</v>
      </c>
      <c r="BT18" s="2"/>
      <c r="BU18" s="2"/>
    </row>
    <row r="19" spans="1:73" ht="15" customHeight="1" x14ac:dyDescent="0.2">
      <c r="A19" s="1">
        <v>2030</v>
      </c>
      <c r="B19" s="1">
        <v>37.5</v>
      </c>
      <c r="C19" s="1">
        <v>37.5</v>
      </c>
      <c r="D19" s="1">
        <v>37.5</v>
      </c>
      <c r="E19" s="1">
        <v>37.5</v>
      </c>
      <c r="F19" s="1">
        <v>37.5</v>
      </c>
      <c r="G19" s="1">
        <v>37.5</v>
      </c>
      <c r="H19" s="1">
        <v>37.5</v>
      </c>
      <c r="I19" s="1">
        <v>37.5</v>
      </c>
      <c r="J19" s="1">
        <v>37.5</v>
      </c>
      <c r="K19" s="1">
        <v>37.5</v>
      </c>
      <c r="L19" s="1">
        <v>37.5</v>
      </c>
      <c r="M19" s="1">
        <v>37.5</v>
      </c>
      <c r="N19" s="1">
        <v>37.5</v>
      </c>
      <c r="O19" s="1">
        <v>37.5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2"/>
      <c r="BI19" s="2">
        <f t="shared" si="0"/>
        <v>525</v>
      </c>
      <c r="BJ19" s="2"/>
      <c r="BK19" s="2">
        <f t="shared" si="1"/>
        <v>452.70585462926493</v>
      </c>
      <c r="BL19" s="2"/>
      <c r="BM19" s="2"/>
      <c r="BN19" s="2"/>
      <c r="BO19" s="2">
        <f t="shared" si="2"/>
        <v>-525</v>
      </c>
      <c r="BP19" s="2"/>
      <c r="BQ19" s="2"/>
      <c r="BR19" s="2"/>
      <c r="BS19" s="2">
        <f t="shared" si="3"/>
        <v>525</v>
      </c>
      <c r="BT19" s="2"/>
      <c r="BU19" s="2"/>
    </row>
    <row r="20" spans="1:73" ht="15" customHeight="1" x14ac:dyDescent="0.2">
      <c r="A20" s="1">
        <v>2031</v>
      </c>
      <c r="B20" s="1">
        <v>37.5</v>
      </c>
      <c r="C20" s="1">
        <v>37.5</v>
      </c>
      <c r="D20" s="1">
        <v>37.5</v>
      </c>
      <c r="E20" s="1">
        <v>37.5</v>
      </c>
      <c r="F20" s="1">
        <v>37.5</v>
      </c>
      <c r="G20" s="1">
        <v>37.5</v>
      </c>
      <c r="H20" s="1">
        <v>37.5</v>
      </c>
      <c r="I20" s="1">
        <v>37.5</v>
      </c>
      <c r="J20" s="1">
        <v>37.5</v>
      </c>
      <c r="K20" s="1">
        <v>37.5</v>
      </c>
      <c r="L20" s="1">
        <v>37.5</v>
      </c>
      <c r="M20" s="1">
        <v>37.5</v>
      </c>
      <c r="N20" s="1">
        <v>37.5</v>
      </c>
      <c r="O20" s="1">
        <v>37.5</v>
      </c>
      <c r="P20" s="1">
        <v>37.5</v>
      </c>
      <c r="Q20" s="1">
        <v>37.5</v>
      </c>
      <c r="R20" s="1">
        <v>37.5</v>
      </c>
      <c r="S20" s="1">
        <v>37.5</v>
      </c>
      <c r="T20" s="1">
        <v>37.5</v>
      </c>
      <c r="U20" s="1">
        <v>37.5</v>
      </c>
      <c r="V20" s="1">
        <v>37.5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2"/>
      <c r="BI20" s="2">
        <f t="shared" si="0"/>
        <v>787.5</v>
      </c>
      <c r="BJ20" s="2"/>
      <c r="BK20" s="2">
        <f t="shared" si="1"/>
        <v>662.49637262819249</v>
      </c>
      <c r="BL20" s="2"/>
      <c r="BM20" s="2"/>
      <c r="BN20" s="2"/>
      <c r="BO20" s="2">
        <f t="shared" si="2"/>
        <v>-787.5</v>
      </c>
      <c r="BP20" s="2"/>
      <c r="BQ20" s="2"/>
      <c r="BR20" s="2"/>
      <c r="BS20" s="2">
        <f t="shared" si="3"/>
        <v>787.5</v>
      </c>
      <c r="BT20" s="2"/>
      <c r="BU20" s="2"/>
    </row>
    <row r="21" spans="1:73" ht="15" customHeight="1" x14ac:dyDescent="0.2">
      <c r="A21" s="1">
        <v>2032</v>
      </c>
      <c r="B21" s="1">
        <v>37.5</v>
      </c>
      <c r="C21" s="1">
        <v>37.5</v>
      </c>
      <c r="D21" s="1">
        <v>37.5</v>
      </c>
      <c r="E21" s="1">
        <v>37.5</v>
      </c>
      <c r="F21" s="1">
        <v>37.5</v>
      </c>
      <c r="G21" s="1">
        <v>37.5</v>
      </c>
      <c r="H21" s="1">
        <v>37.5</v>
      </c>
      <c r="I21" s="1">
        <v>37.5</v>
      </c>
      <c r="J21" s="1">
        <v>37.5</v>
      </c>
      <c r="K21" s="1">
        <v>37.5</v>
      </c>
      <c r="L21" s="1">
        <v>37.5</v>
      </c>
      <c r="M21" s="1">
        <v>37.5</v>
      </c>
      <c r="N21" s="1">
        <v>37.5</v>
      </c>
      <c r="O21" s="1">
        <v>37.5</v>
      </c>
      <c r="P21" s="1">
        <v>37.5</v>
      </c>
      <c r="Q21" s="1">
        <v>37.5</v>
      </c>
      <c r="R21" s="1">
        <v>37.5</v>
      </c>
      <c r="S21" s="1">
        <v>37.5</v>
      </c>
      <c r="T21" s="1">
        <v>37.5</v>
      </c>
      <c r="U21" s="1">
        <v>37.5</v>
      </c>
      <c r="V21" s="1">
        <v>37.5</v>
      </c>
      <c r="W21" s="1">
        <v>37.5</v>
      </c>
      <c r="X21" s="1">
        <v>37.5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2"/>
      <c r="BI21" s="2">
        <f t="shared" si="0"/>
        <v>862.5</v>
      </c>
      <c r="BJ21" s="2"/>
      <c r="BK21" s="2">
        <f t="shared" si="1"/>
        <v>707.89391732629178</v>
      </c>
      <c r="BL21" s="2"/>
      <c r="BM21" s="2"/>
      <c r="BN21" s="2"/>
      <c r="BO21" s="2">
        <f t="shared" si="2"/>
        <v>-862.5</v>
      </c>
      <c r="BP21" s="2"/>
      <c r="BQ21" s="2"/>
      <c r="BR21" s="2"/>
      <c r="BS21" s="2">
        <f t="shared" si="3"/>
        <v>862.5</v>
      </c>
      <c r="BT21" s="2"/>
      <c r="BU21" s="2"/>
    </row>
    <row r="22" spans="1:73" ht="15" customHeight="1" x14ac:dyDescent="0.2">
      <c r="A22" s="1">
        <v>2033</v>
      </c>
      <c r="B22" s="1">
        <v>37.5</v>
      </c>
      <c r="C22" s="1">
        <v>37.5</v>
      </c>
      <c r="D22" s="1">
        <v>37.5</v>
      </c>
      <c r="E22" s="1">
        <v>37.5</v>
      </c>
      <c r="F22" s="1">
        <v>37.5</v>
      </c>
      <c r="G22" s="1">
        <v>37.5</v>
      </c>
      <c r="H22" s="1">
        <v>37.5</v>
      </c>
      <c r="I22" s="1">
        <v>37.5</v>
      </c>
      <c r="J22" s="1">
        <v>37.5</v>
      </c>
      <c r="K22" s="1">
        <v>37.5</v>
      </c>
      <c r="L22" s="1">
        <v>37.5</v>
      </c>
      <c r="M22" s="1">
        <v>37.5</v>
      </c>
      <c r="N22" s="1">
        <v>37.5</v>
      </c>
      <c r="O22" s="1">
        <v>37.5</v>
      </c>
      <c r="P22" s="1">
        <v>37.5</v>
      </c>
      <c r="Q22" s="1">
        <v>37.5</v>
      </c>
      <c r="R22" s="1">
        <v>37.5</v>
      </c>
      <c r="S22" s="1">
        <v>37.5</v>
      </c>
      <c r="T22" s="1">
        <v>37.5</v>
      </c>
      <c r="U22" s="1">
        <v>37.5</v>
      </c>
      <c r="V22" s="1">
        <v>37.5</v>
      </c>
      <c r="W22" s="1">
        <v>37.5</v>
      </c>
      <c r="X22" s="1">
        <v>37.5</v>
      </c>
      <c r="Y22" s="1">
        <v>37.5</v>
      </c>
      <c r="Z22" s="1">
        <v>37.5</v>
      </c>
      <c r="AA22" s="1">
        <v>37.5</v>
      </c>
      <c r="AB22" s="1">
        <v>37.5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2"/>
      <c r="BI22" s="2">
        <f t="shared" si="0"/>
        <v>1012.5</v>
      </c>
      <c r="BJ22" s="2"/>
      <c r="BK22" s="2">
        <f t="shared" si="1"/>
        <v>810.73746629098116</v>
      </c>
      <c r="BL22" s="2"/>
      <c r="BM22" s="2"/>
      <c r="BN22" s="2"/>
      <c r="BO22" s="2">
        <f t="shared" si="2"/>
        <v>-1012.5</v>
      </c>
      <c r="BP22" s="2"/>
      <c r="BQ22" s="2"/>
      <c r="BR22" s="2"/>
      <c r="BS22" s="2">
        <f t="shared" si="3"/>
        <v>1012.5</v>
      </c>
      <c r="BT22" s="2"/>
      <c r="BU22" s="2"/>
    </row>
    <row r="23" spans="1:73" ht="15" customHeight="1" x14ac:dyDescent="0.2">
      <c r="A23" s="1">
        <v>2034</v>
      </c>
      <c r="B23" s="1">
        <v>37.5</v>
      </c>
      <c r="C23" s="1">
        <v>37.5</v>
      </c>
      <c r="D23" s="1">
        <v>37.5</v>
      </c>
      <c r="E23" s="1">
        <v>37.5</v>
      </c>
      <c r="F23" s="1">
        <v>37.5</v>
      </c>
      <c r="G23" s="1">
        <v>37.5</v>
      </c>
      <c r="H23" s="1">
        <v>37.5</v>
      </c>
      <c r="I23" s="1">
        <v>37.5</v>
      </c>
      <c r="J23" s="1">
        <v>37.5</v>
      </c>
      <c r="K23" s="1">
        <v>37.5</v>
      </c>
      <c r="L23" s="1">
        <v>37.5</v>
      </c>
      <c r="M23" s="1">
        <v>37.5</v>
      </c>
      <c r="N23" s="1">
        <v>37.5</v>
      </c>
      <c r="O23" s="1">
        <v>37.5</v>
      </c>
      <c r="P23" s="1">
        <v>37.5</v>
      </c>
      <c r="Q23" s="1">
        <v>37.5</v>
      </c>
      <c r="R23" s="1">
        <v>37.5</v>
      </c>
      <c r="S23" s="1">
        <v>37.5</v>
      </c>
      <c r="T23" s="1">
        <v>37.5</v>
      </c>
      <c r="U23" s="1">
        <v>37.5</v>
      </c>
      <c r="V23" s="1">
        <v>37.5</v>
      </c>
      <c r="W23" s="1">
        <v>37.5</v>
      </c>
      <c r="X23" s="1">
        <v>37.5</v>
      </c>
      <c r="Y23" s="1">
        <v>37.5</v>
      </c>
      <c r="Z23" s="1">
        <v>37.5</v>
      </c>
      <c r="AA23" s="1">
        <v>37.5</v>
      </c>
      <c r="AB23" s="1">
        <v>37.5</v>
      </c>
      <c r="AC23" s="1">
        <v>37.5</v>
      </c>
      <c r="AD23" s="1">
        <v>37.5</v>
      </c>
      <c r="AE23" s="1">
        <v>37.5</v>
      </c>
      <c r="AF23" s="1">
        <v>37.5</v>
      </c>
      <c r="AG23" s="1">
        <v>37.5</v>
      </c>
      <c r="AH23" s="1">
        <v>37.5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2"/>
      <c r="BI23" s="2">
        <f t="shared" si="0"/>
        <v>1237.5</v>
      </c>
      <c r="BJ23" s="2"/>
      <c r="BK23" s="2">
        <f t="shared" si="1"/>
        <v>966.73302213558725</v>
      </c>
      <c r="BL23" s="2"/>
      <c r="BM23" s="2"/>
      <c r="BN23" s="2"/>
      <c r="BO23" s="2">
        <f t="shared" si="2"/>
        <v>-1237.5</v>
      </c>
      <c r="BP23" s="2"/>
      <c r="BQ23" s="2"/>
      <c r="BR23" s="2"/>
      <c r="BS23" s="2">
        <f t="shared" si="3"/>
        <v>1237.5</v>
      </c>
      <c r="BT23" s="2"/>
      <c r="BU23" s="2"/>
    </row>
    <row r="24" spans="1:73" ht="15" customHeight="1" x14ac:dyDescent="0.2">
      <c r="A24" s="1">
        <v>2035</v>
      </c>
      <c r="B24" s="1">
        <v>37.5</v>
      </c>
      <c r="C24" s="1">
        <v>37.5</v>
      </c>
      <c r="D24" s="1">
        <v>37.5</v>
      </c>
      <c r="E24" s="1">
        <v>37.5</v>
      </c>
      <c r="F24" s="1">
        <v>37.5</v>
      </c>
      <c r="G24" s="1">
        <v>37.5</v>
      </c>
      <c r="H24" s="1">
        <v>37.5</v>
      </c>
      <c r="I24" s="1">
        <v>37.5</v>
      </c>
      <c r="J24" s="1">
        <v>37.5</v>
      </c>
      <c r="K24" s="1">
        <v>37.5</v>
      </c>
      <c r="L24" s="1">
        <v>37.5</v>
      </c>
      <c r="M24" s="1">
        <v>37.5</v>
      </c>
      <c r="N24" s="1">
        <v>37.5</v>
      </c>
      <c r="O24" s="1">
        <v>37.5</v>
      </c>
      <c r="P24" s="1">
        <v>37.5</v>
      </c>
      <c r="Q24" s="1">
        <v>37.5</v>
      </c>
      <c r="R24" s="1">
        <v>37.5</v>
      </c>
      <c r="S24" s="1">
        <v>37.5</v>
      </c>
      <c r="T24" s="1">
        <v>37.5</v>
      </c>
      <c r="U24" s="1">
        <v>37.5</v>
      </c>
      <c r="V24" s="1">
        <v>37.5</v>
      </c>
      <c r="W24" s="1">
        <v>37.5</v>
      </c>
      <c r="X24" s="1">
        <v>37.5</v>
      </c>
      <c r="Y24" s="1">
        <v>37.5</v>
      </c>
      <c r="Z24" s="1">
        <v>37.5</v>
      </c>
      <c r="AA24" s="1">
        <v>37.5</v>
      </c>
      <c r="AB24" s="1">
        <v>37.5</v>
      </c>
      <c r="AC24" s="1">
        <v>37.5</v>
      </c>
      <c r="AD24" s="1">
        <v>37.5</v>
      </c>
      <c r="AE24" s="1">
        <v>37.5</v>
      </c>
      <c r="AF24" s="1">
        <v>37.5</v>
      </c>
      <c r="AG24" s="1">
        <v>37.5</v>
      </c>
      <c r="AH24" s="1">
        <v>37.5</v>
      </c>
      <c r="AI24" s="1">
        <v>37.5</v>
      </c>
      <c r="AJ24" s="1">
        <v>37.5</v>
      </c>
      <c r="AK24" s="1">
        <v>37.5</v>
      </c>
      <c r="AL24" s="1">
        <v>37.5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2"/>
      <c r="BI24" s="2">
        <f t="shared" si="0"/>
        <v>1387.5</v>
      </c>
      <c r="BJ24" s="2"/>
      <c r="BK24" s="2">
        <f t="shared" si="1"/>
        <v>1057.4758852628745</v>
      </c>
      <c r="BL24" s="2"/>
      <c r="BM24" s="2"/>
      <c r="BN24" s="2"/>
      <c r="BO24" s="2">
        <f t="shared" si="2"/>
        <v>-1387.5</v>
      </c>
      <c r="BP24" s="2"/>
      <c r="BQ24" s="2"/>
      <c r="BR24" s="2"/>
      <c r="BS24" s="2">
        <f t="shared" si="3"/>
        <v>1387.5</v>
      </c>
      <c r="BT24" s="2"/>
      <c r="BU24" s="2"/>
    </row>
    <row r="25" spans="1:73" ht="15" customHeight="1" x14ac:dyDescent="0.2">
      <c r="A25" s="1">
        <v>2036</v>
      </c>
      <c r="B25" s="1">
        <v>37.5</v>
      </c>
      <c r="C25" s="1">
        <v>37.5</v>
      </c>
      <c r="D25" s="1">
        <v>37.5</v>
      </c>
      <c r="E25" s="1">
        <v>37.5</v>
      </c>
      <c r="F25" s="1">
        <v>37.5</v>
      </c>
      <c r="G25" s="1">
        <v>37.5</v>
      </c>
      <c r="H25" s="1">
        <v>37.5</v>
      </c>
      <c r="I25" s="1">
        <v>37.5</v>
      </c>
      <c r="J25" s="1">
        <v>37.5</v>
      </c>
      <c r="K25" s="1">
        <v>37.5</v>
      </c>
      <c r="L25" s="1">
        <v>37.5</v>
      </c>
      <c r="M25" s="1">
        <v>37.5</v>
      </c>
      <c r="N25" s="1">
        <v>37.5</v>
      </c>
      <c r="O25" s="1">
        <v>37.5</v>
      </c>
      <c r="P25" s="1">
        <v>37.5</v>
      </c>
      <c r="Q25" s="1">
        <v>37.5</v>
      </c>
      <c r="R25" s="1">
        <v>37.5</v>
      </c>
      <c r="S25" s="1">
        <v>37.5</v>
      </c>
      <c r="T25" s="1">
        <v>37.5</v>
      </c>
      <c r="U25" s="1">
        <v>37.5</v>
      </c>
      <c r="V25" s="1">
        <v>37.5</v>
      </c>
      <c r="W25" s="1">
        <v>37.5</v>
      </c>
      <c r="X25" s="1">
        <v>37.5</v>
      </c>
      <c r="Y25" s="1">
        <v>37.5</v>
      </c>
      <c r="Z25" s="1">
        <v>37.5</v>
      </c>
      <c r="AA25" s="1">
        <v>37.5</v>
      </c>
      <c r="AB25" s="1">
        <v>37.5</v>
      </c>
      <c r="AC25" s="1">
        <v>37.5</v>
      </c>
      <c r="AD25" s="1">
        <v>37.5</v>
      </c>
      <c r="AE25" s="1">
        <v>37.5</v>
      </c>
      <c r="AF25" s="1">
        <v>37.5</v>
      </c>
      <c r="AG25" s="1">
        <v>37.5</v>
      </c>
      <c r="AH25" s="1">
        <v>37.5</v>
      </c>
      <c r="AI25" s="1">
        <v>37.5</v>
      </c>
      <c r="AJ25" s="1">
        <v>37.5</v>
      </c>
      <c r="AK25" s="1">
        <v>37.5</v>
      </c>
      <c r="AL25" s="1">
        <v>37.5</v>
      </c>
      <c r="AM25" s="1">
        <v>37.5</v>
      </c>
      <c r="AN25" s="1">
        <v>37.5</v>
      </c>
      <c r="AO25" s="1">
        <v>37.5</v>
      </c>
      <c r="AP25" s="1">
        <v>37.5</v>
      </c>
      <c r="AQ25" s="1">
        <v>37.5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2"/>
      <c r="BI25" s="2">
        <f t="shared" si="0"/>
        <v>1575</v>
      </c>
      <c r="BJ25" s="2"/>
      <c r="BK25" s="2">
        <f t="shared" si="1"/>
        <v>1171.1005189463608</v>
      </c>
      <c r="BL25" s="2"/>
      <c r="BM25" s="2"/>
      <c r="BN25" s="2"/>
      <c r="BO25" s="2">
        <f t="shared" si="2"/>
        <v>-1575</v>
      </c>
      <c r="BP25" s="2"/>
      <c r="BQ25" s="2"/>
      <c r="BR25" s="2"/>
      <c r="BS25" s="2">
        <f t="shared" si="3"/>
        <v>1575</v>
      </c>
      <c r="BT25" s="2"/>
      <c r="BU25" s="2"/>
    </row>
    <row r="26" spans="1:73" ht="15" customHeight="1" x14ac:dyDescent="0.2">
      <c r="A26" s="1">
        <v>2037</v>
      </c>
      <c r="B26" s="1">
        <v>37.5</v>
      </c>
      <c r="C26" s="1">
        <v>37.5</v>
      </c>
      <c r="D26" s="1">
        <v>37.5</v>
      </c>
      <c r="E26" s="1">
        <v>37.5</v>
      </c>
      <c r="F26" s="1">
        <v>37.5</v>
      </c>
      <c r="G26" s="1">
        <v>37.5</v>
      </c>
      <c r="H26" s="1">
        <v>37.5</v>
      </c>
      <c r="I26" s="1">
        <v>37.5</v>
      </c>
      <c r="J26" s="1">
        <v>37.5</v>
      </c>
      <c r="K26" s="1">
        <v>37.5</v>
      </c>
      <c r="L26" s="1">
        <v>37.5</v>
      </c>
      <c r="M26" s="1">
        <v>37.5</v>
      </c>
      <c r="N26" s="1">
        <v>37.5</v>
      </c>
      <c r="O26" s="1">
        <v>37.5</v>
      </c>
      <c r="P26" s="1">
        <v>37.5</v>
      </c>
      <c r="Q26" s="1">
        <v>37.5</v>
      </c>
      <c r="R26" s="1">
        <v>37.5</v>
      </c>
      <c r="S26" s="1">
        <v>37.5</v>
      </c>
      <c r="T26" s="1">
        <v>37.5</v>
      </c>
      <c r="U26" s="1">
        <v>37.5</v>
      </c>
      <c r="V26" s="1">
        <v>37.5</v>
      </c>
      <c r="W26" s="1">
        <v>37.5</v>
      </c>
      <c r="X26" s="1">
        <v>37.5</v>
      </c>
      <c r="Y26" s="1">
        <v>37.5</v>
      </c>
      <c r="Z26" s="1">
        <v>37.5</v>
      </c>
      <c r="AA26" s="1">
        <v>37.5</v>
      </c>
      <c r="AB26" s="1">
        <v>37.5</v>
      </c>
      <c r="AC26" s="1">
        <v>37.5</v>
      </c>
      <c r="AD26" s="1">
        <v>37.5</v>
      </c>
      <c r="AE26" s="1">
        <v>37.5</v>
      </c>
      <c r="AF26" s="1">
        <v>37.5</v>
      </c>
      <c r="AG26" s="1">
        <v>37.5</v>
      </c>
      <c r="AH26" s="1">
        <v>37.5</v>
      </c>
      <c r="AI26" s="1">
        <v>37.5</v>
      </c>
      <c r="AJ26" s="1">
        <v>37.5</v>
      </c>
      <c r="AK26" s="1">
        <v>37.5</v>
      </c>
      <c r="AL26" s="1">
        <v>37.5</v>
      </c>
      <c r="AM26" s="1">
        <v>37.5</v>
      </c>
      <c r="AN26" s="1">
        <v>37.5</v>
      </c>
      <c r="AO26" s="1">
        <v>37.5</v>
      </c>
      <c r="AP26" s="1">
        <v>37.5</v>
      </c>
      <c r="AQ26" s="1">
        <v>37.5</v>
      </c>
      <c r="AR26" s="1">
        <v>37.5</v>
      </c>
      <c r="AS26" s="1">
        <v>37.5</v>
      </c>
      <c r="AT26" s="1">
        <v>37.5</v>
      </c>
      <c r="AU26" s="1">
        <v>37.5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2"/>
      <c r="BI26" s="2">
        <f t="shared" si="0"/>
        <v>1725</v>
      </c>
      <c r="BJ26" s="2"/>
      <c r="BK26" s="2">
        <f t="shared" si="1"/>
        <v>1251.35014800308</v>
      </c>
      <c r="BL26" s="2"/>
      <c r="BM26" s="2"/>
      <c r="BN26" s="2"/>
      <c r="BO26" s="2">
        <f t="shared" si="2"/>
        <v>-1725</v>
      </c>
      <c r="BP26" s="2"/>
      <c r="BQ26" s="2"/>
      <c r="BR26" s="2"/>
      <c r="BS26" s="2">
        <f t="shared" si="3"/>
        <v>1725</v>
      </c>
      <c r="BT26" s="2"/>
      <c r="BU26" s="2"/>
    </row>
    <row r="27" spans="1:73" ht="15" customHeight="1" x14ac:dyDescent="0.2">
      <c r="A27" s="1">
        <v>2038</v>
      </c>
      <c r="B27" s="1">
        <v>0</v>
      </c>
      <c r="C27" s="1">
        <v>0</v>
      </c>
      <c r="D27" s="1">
        <v>37.5</v>
      </c>
      <c r="E27" s="1">
        <v>37.5</v>
      </c>
      <c r="F27" s="1">
        <v>37.5</v>
      </c>
      <c r="G27" s="1">
        <v>37.5</v>
      </c>
      <c r="H27" s="1">
        <v>37.5</v>
      </c>
      <c r="I27" s="1">
        <v>37.5</v>
      </c>
      <c r="J27" s="1">
        <v>37.5</v>
      </c>
      <c r="K27" s="1">
        <v>37.5</v>
      </c>
      <c r="L27" s="1">
        <v>37.5</v>
      </c>
      <c r="M27" s="1">
        <v>37.5</v>
      </c>
      <c r="N27" s="1">
        <v>37.5</v>
      </c>
      <c r="O27" s="1">
        <v>37.5</v>
      </c>
      <c r="P27" s="1">
        <v>37.5</v>
      </c>
      <c r="Q27" s="1">
        <v>37.5</v>
      </c>
      <c r="R27" s="1">
        <v>37.5</v>
      </c>
      <c r="S27" s="1">
        <v>37.5</v>
      </c>
      <c r="T27" s="1">
        <v>37.5</v>
      </c>
      <c r="U27" s="1">
        <v>37.5</v>
      </c>
      <c r="V27" s="1">
        <v>37.5</v>
      </c>
      <c r="W27" s="1">
        <v>37.5</v>
      </c>
      <c r="X27" s="1">
        <v>37.5</v>
      </c>
      <c r="Y27" s="1">
        <v>37.5</v>
      </c>
      <c r="Z27" s="1">
        <v>37.5</v>
      </c>
      <c r="AA27" s="1">
        <v>37.5</v>
      </c>
      <c r="AB27" s="1">
        <v>37.5</v>
      </c>
      <c r="AC27" s="1">
        <v>37.5</v>
      </c>
      <c r="AD27" s="1">
        <v>37.5</v>
      </c>
      <c r="AE27" s="1">
        <v>37.5</v>
      </c>
      <c r="AF27" s="1">
        <v>37.5</v>
      </c>
      <c r="AG27" s="1">
        <v>37.5</v>
      </c>
      <c r="AH27" s="1">
        <v>37.5</v>
      </c>
      <c r="AI27" s="1">
        <v>37.5</v>
      </c>
      <c r="AJ27" s="1">
        <v>37.5</v>
      </c>
      <c r="AK27" s="1">
        <v>37.5</v>
      </c>
      <c r="AL27" s="1">
        <v>37.5</v>
      </c>
      <c r="AM27" s="1">
        <v>37.5</v>
      </c>
      <c r="AN27" s="1">
        <v>37.5</v>
      </c>
      <c r="AO27" s="1">
        <v>37.5</v>
      </c>
      <c r="AP27" s="1">
        <v>37.5</v>
      </c>
      <c r="AQ27" s="1">
        <v>37.5</v>
      </c>
      <c r="AR27" s="1">
        <v>37.5</v>
      </c>
      <c r="AS27" s="1">
        <v>37.5</v>
      </c>
      <c r="AT27" s="1">
        <v>37.5</v>
      </c>
      <c r="AU27" s="1">
        <v>37.5</v>
      </c>
      <c r="AV27" s="1">
        <v>37.5</v>
      </c>
      <c r="AW27" s="1">
        <v>37.5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2"/>
      <c r="BI27" s="2">
        <f t="shared" si="0"/>
        <v>1725</v>
      </c>
      <c r="BJ27" s="2"/>
      <c r="BK27" s="2">
        <f t="shared" si="1"/>
        <v>1220.8294126859319</v>
      </c>
      <c r="BL27" s="2"/>
      <c r="BM27" s="2"/>
      <c r="BN27" s="2"/>
      <c r="BO27" s="2">
        <f t="shared" si="2"/>
        <v>-1725</v>
      </c>
      <c r="BP27" s="2"/>
      <c r="BQ27" s="2"/>
      <c r="BR27" s="2"/>
      <c r="BS27" s="2">
        <f t="shared" si="3"/>
        <v>1725</v>
      </c>
      <c r="BT27" s="2"/>
      <c r="BU27" s="2"/>
    </row>
    <row r="28" spans="1:73" ht="15" customHeight="1" x14ac:dyDescent="0.2">
      <c r="A28" s="1">
        <v>2039</v>
      </c>
      <c r="B28" s="1">
        <v>0</v>
      </c>
      <c r="C28" s="1">
        <v>0</v>
      </c>
      <c r="D28" s="1">
        <v>37.5</v>
      </c>
      <c r="E28" s="1">
        <v>37.5</v>
      </c>
      <c r="F28" s="1">
        <v>37.5</v>
      </c>
      <c r="G28" s="1">
        <v>37.5</v>
      </c>
      <c r="H28" s="1">
        <v>37.5</v>
      </c>
      <c r="I28" s="1">
        <v>37.5</v>
      </c>
      <c r="J28" s="1">
        <v>37.5</v>
      </c>
      <c r="K28" s="1">
        <v>37.5</v>
      </c>
      <c r="L28" s="1">
        <v>37.5</v>
      </c>
      <c r="M28" s="1">
        <v>37.5</v>
      </c>
      <c r="N28" s="1">
        <v>37.5</v>
      </c>
      <c r="O28" s="1">
        <v>37.5</v>
      </c>
      <c r="P28" s="1">
        <v>37.5</v>
      </c>
      <c r="Q28" s="1">
        <v>37.5</v>
      </c>
      <c r="R28" s="1">
        <v>37.5</v>
      </c>
      <c r="S28" s="1">
        <v>37.5</v>
      </c>
      <c r="T28" s="1">
        <v>37.5</v>
      </c>
      <c r="U28" s="1">
        <v>37.5</v>
      </c>
      <c r="V28" s="1">
        <v>37.5</v>
      </c>
      <c r="W28" s="1">
        <v>37.5</v>
      </c>
      <c r="X28" s="1">
        <v>37.5</v>
      </c>
      <c r="Y28" s="1">
        <v>37.5</v>
      </c>
      <c r="Z28" s="1">
        <v>37.5</v>
      </c>
      <c r="AA28" s="1">
        <v>37.5</v>
      </c>
      <c r="AB28" s="1">
        <v>37.5</v>
      </c>
      <c r="AC28" s="1">
        <v>37.5</v>
      </c>
      <c r="AD28" s="1">
        <v>37.5</v>
      </c>
      <c r="AE28" s="1">
        <v>37.5</v>
      </c>
      <c r="AF28" s="1">
        <v>37.5</v>
      </c>
      <c r="AG28" s="1">
        <v>37.5</v>
      </c>
      <c r="AH28" s="1">
        <v>37.5</v>
      </c>
      <c r="AI28" s="1">
        <v>37.5</v>
      </c>
      <c r="AJ28" s="1">
        <v>37.5</v>
      </c>
      <c r="AK28" s="1">
        <v>37.5</v>
      </c>
      <c r="AL28" s="1">
        <v>37.5</v>
      </c>
      <c r="AM28" s="1">
        <v>37.5</v>
      </c>
      <c r="AN28" s="1">
        <v>37.5</v>
      </c>
      <c r="AO28" s="1">
        <v>37.5</v>
      </c>
      <c r="AP28" s="1">
        <v>37.5</v>
      </c>
      <c r="AQ28" s="1">
        <v>37.5</v>
      </c>
      <c r="AR28" s="1">
        <v>37.5</v>
      </c>
      <c r="AS28" s="1">
        <v>37.5</v>
      </c>
      <c r="AT28" s="1">
        <v>37.5</v>
      </c>
      <c r="AU28" s="1">
        <v>37.5</v>
      </c>
      <c r="AV28" s="1">
        <v>37.5</v>
      </c>
      <c r="AW28" s="1">
        <v>37.5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2"/>
      <c r="BI28" s="2">
        <f t="shared" si="0"/>
        <v>1725</v>
      </c>
      <c r="BJ28" s="2"/>
      <c r="BK28" s="2">
        <f t="shared" si="1"/>
        <v>1191.0530855472505</v>
      </c>
      <c r="BL28" s="2"/>
      <c r="BM28" s="2"/>
      <c r="BN28" s="2"/>
      <c r="BO28" s="2">
        <f t="shared" si="2"/>
        <v>-1725</v>
      </c>
      <c r="BP28" s="2"/>
      <c r="BQ28" s="2"/>
      <c r="BR28" s="2"/>
      <c r="BS28" s="2">
        <f t="shared" si="3"/>
        <v>1725</v>
      </c>
      <c r="BT28" s="2"/>
      <c r="BU28" s="2"/>
    </row>
    <row r="29" spans="1:73" ht="15" customHeight="1" x14ac:dyDescent="0.2">
      <c r="A29" s="1">
        <v>2040</v>
      </c>
      <c r="B29" s="1">
        <v>0</v>
      </c>
      <c r="C29" s="1">
        <v>0</v>
      </c>
      <c r="D29" s="1">
        <v>37.5</v>
      </c>
      <c r="E29" s="1">
        <v>37.5</v>
      </c>
      <c r="F29" s="1">
        <v>37.5</v>
      </c>
      <c r="G29" s="1">
        <v>37.5</v>
      </c>
      <c r="H29" s="1">
        <v>37.5</v>
      </c>
      <c r="I29" s="1">
        <v>37.5</v>
      </c>
      <c r="J29" s="1">
        <v>37.5</v>
      </c>
      <c r="K29" s="1">
        <v>37.5</v>
      </c>
      <c r="L29" s="1">
        <v>37.5</v>
      </c>
      <c r="M29" s="1">
        <v>37.5</v>
      </c>
      <c r="N29" s="1">
        <v>37.5</v>
      </c>
      <c r="O29" s="1">
        <v>37.5</v>
      </c>
      <c r="P29" s="1">
        <v>37.5</v>
      </c>
      <c r="Q29" s="1">
        <v>37.5</v>
      </c>
      <c r="R29" s="1">
        <v>37.5</v>
      </c>
      <c r="S29" s="1">
        <v>37.5</v>
      </c>
      <c r="T29" s="1">
        <v>37.5</v>
      </c>
      <c r="U29" s="1">
        <v>37.5</v>
      </c>
      <c r="V29" s="1">
        <v>37.5</v>
      </c>
      <c r="W29" s="1">
        <v>37.5</v>
      </c>
      <c r="X29" s="1">
        <v>37.5</v>
      </c>
      <c r="Y29" s="1">
        <v>37.5</v>
      </c>
      <c r="Z29" s="1">
        <v>37.5</v>
      </c>
      <c r="AA29" s="1">
        <v>37.5</v>
      </c>
      <c r="AB29" s="1">
        <v>37.5</v>
      </c>
      <c r="AC29" s="1">
        <v>37.5</v>
      </c>
      <c r="AD29" s="1">
        <v>37.5</v>
      </c>
      <c r="AE29" s="1">
        <v>37.5</v>
      </c>
      <c r="AF29" s="1">
        <v>37.5</v>
      </c>
      <c r="AG29" s="1">
        <v>37.5</v>
      </c>
      <c r="AH29" s="1">
        <v>37.5</v>
      </c>
      <c r="AI29" s="1">
        <v>37.5</v>
      </c>
      <c r="AJ29" s="1">
        <v>37.5</v>
      </c>
      <c r="AK29" s="1">
        <v>37.5</v>
      </c>
      <c r="AL29" s="1">
        <v>37.5</v>
      </c>
      <c r="AM29" s="1">
        <v>37.5</v>
      </c>
      <c r="AN29" s="1">
        <v>37.5</v>
      </c>
      <c r="AO29" s="1">
        <v>37.5</v>
      </c>
      <c r="AP29" s="1">
        <v>37.5</v>
      </c>
      <c r="AQ29" s="1">
        <v>37.5</v>
      </c>
      <c r="AR29" s="1">
        <v>37.5</v>
      </c>
      <c r="AS29" s="1">
        <v>37.5</v>
      </c>
      <c r="AT29" s="1">
        <v>37.5</v>
      </c>
      <c r="AU29" s="1">
        <v>37.5</v>
      </c>
      <c r="AV29" s="1">
        <v>37.5</v>
      </c>
      <c r="AW29" s="1">
        <v>37.5</v>
      </c>
      <c r="AX29" s="1">
        <v>37.5</v>
      </c>
      <c r="AY29" s="1">
        <v>37.5</v>
      </c>
      <c r="AZ29" s="1">
        <v>37.5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2"/>
      <c r="BI29" s="2">
        <f t="shared" si="0"/>
        <v>1837.5</v>
      </c>
      <c r="BJ29" s="2"/>
      <c r="BK29" s="2">
        <f t="shared" si="1"/>
        <v>1237.7858153089137</v>
      </c>
      <c r="BL29" s="2"/>
      <c r="BM29" s="2"/>
      <c r="BN29" s="2"/>
      <c r="BO29" s="2">
        <f t="shared" si="2"/>
        <v>-1837.5</v>
      </c>
      <c r="BP29" s="2"/>
      <c r="BQ29" s="2"/>
      <c r="BR29" s="2"/>
      <c r="BS29" s="2">
        <f t="shared" si="3"/>
        <v>1837.5</v>
      </c>
      <c r="BT29" s="2"/>
      <c r="BU29" s="2"/>
    </row>
    <row r="30" spans="1:73" ht="15" customHeight="1" x14ac:dyDescent="0.2">
      <c r="A30" s="1">
        <v>2041</v>
      </c>
      <c r="B30" s="1">
        <v>0</v>
      </c>
      <c r="C30" s="1">
        <v>0</v>
      </c>
      <c r="D30" s="1">
        <v>37.5</v>
      </c>
      <c r="E30" s="1">
        <v>37.5</v>
      </c>
      <c r="F30" s="1">
        <v>37.5</v>
      </c>
      <c r="G30" s="1">
        <v>37.5</v>
      </c>
      <c r="H30" s="1">
        <v>37.5</v>
      </c>
      <c r="I30" s="1">
        <v>37.5</v>
      </c>
      <c r="J30" s="1">
        <v>37.5</v>
      </c>
      <c r="K30" s="1">
        <v>37.5</v>
      </c>
      <c r="L30" s="1">
        <v>37.5</v>
      </c>
      <c r="M30" s="1">
        <v>37.5</v>
      </c>
      <c r="N30" s="1">
        <v>37.5</v>
      </c>
      <c r="O30" s="1">
        <v>37.5</v>
      </c>
      <c r="P30" s="1">
        <v>37.5</v>
      </c>
      <c r="Q30" s="1">
        <v>37.5</v>
      </c>
      <c r="R30" s="1">
        <v>37.5</v>
      </c>
      <c r="S30" s="1">
        <v>37.5</v>
      </c>
      <c r="T30" s="1">
        <v>37.5</v>
      </c>
      <c r="U30" s="1">
        <v>37.5</v>
      </c>
      <c r="V30" s="1">
        <v>37.5</v>
      </c>
      <c r="W30" s="1">
        <v>37.5</v>
      </c>
      <c r="X30" s="1">
        <v>37.5</v>
      </c>
      <c r="Y30" s="1">
        <v>37.5</v>
      </c>
      <c r="Z30" s="1">
        <v>37.5</v>
      </c>
      <c r="AA30" s="1">
        <v>37.5</v>
      </c>
      <c r="AB30" s="1">
        <v>37.5</v>
      </c>
      <c r="AC30" s="1">
        <v>37.5</v>
      </c>
      <c r="AD30" s="1">
        <v>37.5</v>
      </c>
      <c r="AE30" s="1">
        <v>37.5</v>
      </c>
      <c r="AF30" s="1">
        <v>37.5</v>
      </c>
      <c r="AG30" s="1">
        <v>37.5</v>
      </c>
      <c r="AH30" s="1">
        <v>37.5</v>
      </c>
      <c r="AI30" s="1">
        <v>37.5</v>
      </c>
      <c r="AJ30" s="1">
        <v>37.5</v>
      </c>
      <c r="AK30" s="1">
        <v>37.5</v>
      </c>
      <c r="AL30" s="1">
        <v>37.5</v>
      </c>
      <c r="AM30" s="1">
        <v>37.5</v>
      </c>
      <c r="AN30" s="1">
        <v>37.5</v>
      </c>
      <c r="AO30" s="1">
        <v>37.5</v>
      </c>
      <c r="AP30" s="1">
        <v>37.5</v>
      </c>
      <c r="AQ30" s="1">
        <v>37.5</v>
      </c>
      <c r="AR30" s="1">
        <v>37.5</v>
      </c>
      <c r="AS30" s="1">
        <v>37.5</v>
      </c>
      <c r="AT30" s="1">
        <v>37.5</v>
      </c>
      <c r="AU30" s="1">
        <v>37.5</v>
      </c>
      <c r="AV30" s="1">
        <v>37.5</v>
      </c>
      <c r="AW30" s="1">
        <v>37.5</v>
      </c>
      <c r="AX30" s="1">
        <v>37.5</v>
      </c>
      <c r="AY30" s="1">
        <v>37.5</v>
      </c>
      <c r="AZ30" s="1">
        <v>37.5</v>
      </c>
      <c r="BA30" s="1">
        <v>37.5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2"/>
      <c r="BI30" s="2">
        <f t="shared" si="0"/>
        <v>1875</v>
      </c>
      <c r="BJ30" s="2"/>
      <c r="BK30" s="2">
        <f t="shared" si="1"/>
        <v>1232.240732014847</v>
      </c>
      <c r="BL30" s="2"/>
      <c r="BM30" s="2"/>
      <c r="BN30" s="2"/>
      <c r="BO30" s="2">
        <f t="shared" si="2"/>
        <v>-1875</v>
      </c>
      <c r="BP30" s="2"/>
      <c r="BQ30" s="2"/>
      <c r="BR30" s="2"/>
      <c r="BS30" s="2">
        <f t="shared" si="3"/>
        <v>1875</v>
      </c>
      <c r="BT30" s="2"/>
      <c r="BU30" s="2"/>
    </row>
    <row r="31" spans="1:73" ht="15" customHeight="1" x14ac:dyDescent="0.2">
      <c r="A31" s="1">
        <v>2042</v>
      </c>
      <c r="B31" s="1">
        <v>0</v>
      </c>
      <c r="C31" s="1">
        <v>0</v>
      </c>
      <c r="D31" s="1">
        <v>37.5</v>
      </c>
      <c r="E31" s="1">
        <v>37.5</v>
      </c>
      <c r="F31" s="1">
        <v>37.5</v>
      </c>
      <c r="G31" s="1">
        <v>37.5</v>
      </c>
      <c r="H31" s="1">
        <v>37.5</v>
      </c>
      <c r="I31" s="1">
        <v>37.5</v>
      </c>
      <c r="J31" s="1">
        <v>37.5</v>
      </c>
      <c r="K31" s="1">
        <v>37.5</v>
      </c>
      <c r="L31" s="1">
        <v>37.5</v>
      </c>
      <c r="M31" s="1">
        <v>37.5</v>
      </c>
      <c r="N31" s="1">
        <v>37.5</v>
      </c>
      <c r="O31" s="1">
        <v>37.5</v>
      </c>
      <c r="P31" s="1">
        <v>37.5</v>
      </c>
      <c r="Q31" s="1">
        <v>37.5</v>
      </c>
      <c r="R31" s="1">
        <v>37.5</v>
      </c>
      <c r="S31" s="1">
        <v>37.5</v>
      </c>
      <c r="T31" s="1">
        <v>37.5</v>
      </c>
      <c r="U31" s="1">
        <v>37.5</v>
      </c>
      <c r="V31" s="1">
        <v>37.5</v>
      </c>
      <c r="W31" s="1">
        <v>37.5</v>
      </c>
      <c r="X31" s="1">
        <v>37.5</v>
      </c>
      <c r="Y31" s="1">
        <v>37.5</v>
      </c>
      <c r="Z31" s="1">
        <v>37.5</v>
      </c>
      <c r="AA31" s="1">
        <v>37.5</v>
      </c>
      <c r="AB31" s="1">
        <v>37.5</v>
      </c>
      <c r="AC31" s="1">
        <v>37.5</v>
      </c>
      <c r="AD31" s="1">
        <v>37.5</v>
      </c>
      <c r="AE31" s="1">
        <v>37.5</v>
      </c>
      <c r="AF31" s="1">
        <v>37.5</v>
      </c>
      <c r="AG31" s="1">
        <v>37.5</v>
      </c>
      <c r="AH31" s="1">
        <v>37.5</v>
      </c>
      <c r="AI31" s="1">
        <v>37.5</v>
      </c>
      <c r="AJ31" s="1">
        <v>37.5</v>
      </c>
      <c r="AK31" s="1">
        <v>37.5</v>
      </c>
      <c r="AL31" s="1">
        <v>37.5</v>
      </c>
      <c r="AM31" s="1">
        <v>37.5</v>
      </c>
      <c r="AN31" s="1">
        <v>37.5</v>
      </c>
      <c r="AO31" s="1">
        <v>37.5</v>
      </c>
      <c r="AP31" s="1">
        <v>37.5</v>
      </c>
      <c r="AQ31" s="1">
        <v>37.5</v>
      </c>
      <c r="AR31" s="1">
        <v>37.5</v>
      </c>
      <c r="AS31" s="1">
        <v>37.5</v>
      </c>
      <c r="AT31" s="1">
        <v>37.5</v>
      </c>
      <c r="AU31" s="1">
        <v>37.5</v>
      </c>
      <c r="AV31" s="1">
        <v>37.5</v>
      </c>
      <c r="AW31" s="1">
        <v>37.5</v>
      </c>
      <c r="AX31" s="1">
        <v>37.5</v>
      </c>
      <c r="AY31" s="1">
        <v>37.5</v>
      </c>
      <c r="AZ31" s="1">
        <v>37.5</v>
      </c>
      <c r="BA31" s="1">
        <v>37.5</v>
      </c>
      <c r="BB31" s="1">
        <v>37.5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2"/>
      <c r="BI31" s="2">
        <f t="shared" si="0"/>
        <v>1912.5</v>
      </c>
      <c r="BJ31" s="2"/>
      <c r="BK31" s="2">
        <f t="shared" si="1"/>
        <v>1226.2298016147745</v>
      </c>
      <c r="BL31" s="2"/>
      <c r="BM31" s="2"/>
      <c r="BN31" s="2"/>
      <c r="BO31" s="2">
        <f t="shared" si="2"/>
        <v>-1912.5</v>
      </c>
      <c r="BP31" s="2"/>
      <c r="BQ31" s="2"/>
      <c r="BR31" s="2"/>
      <c r="BS31" s="2">
        <f t="shared" si="3"/>
        <v>1912.5</v>
      </c>
      <c r="BT31" s="2"/>
      <c r="BU31" s="2"/>
    </row>
    <row r="32" spans="1:73" ht="15" customHeight="1" x14ac:dyDescent="0.2">
      <c r="A32" s="1">
        <v>2043</v>
      </c>
      <c r="B32" s="1">
        <v>0</v>
      </c>
      <c r="C32" s="1">
        <v>0</v>
      </c>
      <c r="D32" s="1">
        <v>37.5</v>
      </c>
      <c r="E32" s="1">
        <v>37.5</v>
      </c>
      <c r="F32" s="1">
        <v>37.5</v>
      </c>
      <c r="G32" s="1">
        <v>37.5</v>
      </c>
      <c r="H32" s="1">
        <v>37.5</v>
      </c>
      <c r="I32" s="1">
        <v>37.5</v>
      </c>
      <c r="J32" s="1">
        <v>37.5</v>
      </c>
      <c r="K32" s="1">
        <v>37.5</v>
      </c>
      <c r="L32" s="1">
        <v>37.5</v>
      </c>
      <c r="M32" s="1">
        <v>37.5</v>
      </c>
      <c r="N32" s="1">
        <v>37.5</v>
      </c>
      <c r="O32" s="1">
        <v>37.5</v>
      </c>
      <c r="P32" s="1">
        <v>37.5</v>
      </c>
      <c r="Q32" s="1">
        <v>37.5</v>
      </c>
      <c r="R32" s="1">
        <v>37.5</v>
      </c>
      <c r="S32" s="1">
        <v>37.5</v>
      </c>
      <c r="T32" s="1">
        <v>37.5</v>
      </c>
      <c r="U32" s="1">
        <v>37.5</v>
      </c>
      <c r="V32" s="1">
        <v>37.5</v>
      </c>
      <c r="W32" s="1">
        <v>37.5</v>
      </c>
      <c r="X32" s="1">
        <v>37.5</v>
      </c>
      <c r="Y32" s="1">
        <v>37.5</v>
      </c>
      <c r="Z32" s="1">
        <v>37.5</v>
      </c>
      <c r="AA32" s="1">
        <v>37.5</v>
      </c>
      <c r="AB32" s="1">
        <v>37.5</v>
      </c>
      <c r="AC32" s="1">
        <v>37.5</v>
      </c>
      <c r="AD32" s="1">
        <v>37.5</v>
      </c>
      <c r="AE32" s="1">
        <v>37.5</v>
      </c>
      <c r="AF32" s="1">
        <v>37.5</v>
      </c>
      <c r="AG32" s="1">
        <v>37.5</v>
      </c>
      <c r="AH32" s="1">
        <v>37.5</v>
      </c>
      <c r="AI32" s="1">
        <v>37.5</v>
      </c>
      <c r="AJ32" s="1">
        <v>37.5</v>
      </c>
      <c r="AK32" s="1">
        <v>37.5</v>
      </c>
      <c r="AL32" s="1">
        <v>37.5</v>
      </c>
      <c r="AM32" s="1">
        <v>37.5</v>
      </c>
      <c r="AN32" s="1">
        <v>37.5</v>
      </c>
      <c r="AO32" s="1">
        <v>37.5</v>
      </c>
      <c r="AP32" s="1">
        <v>37.5</v>
      </c>
      <c r="AQ32" s="1">
        <v>37.5</v>
      </c>
      <c r="AR32" s="1">
        <v>37.5</v>
      </c>
      <c r="AS32" s="1">
        <v>37.5</v>
      </c>
      <c r="AT32" s="1">
        <v>37.5</v>
      </c>
      <c r="AU32" s="1">
        <v>37.5</v>
      </c>
      <c r="AV32" s="1">
        <v>37.5</v>
      </c>
      <c r="AW32" s="1">
        <v>37.5</v>
      </c>
      <c r="AX32" s="1">
        <v>37.5</v>
      </c>
      <c r="AY32" s="1">
        <v>37.5</v>
      </c>
      <c r="AZ32" s="1">
        <v>37.5</v>
      </c>
      <c r="BA32" s="1">
        <v>37.5</v>
      </c>
      <c r="BB32" s="1">
        <v>37.5</v>
      </c>
      <c r="BC32" s="1">
        <v>37.5</v>
      </c>
      <c r="BD32" s="1">
        <v>0</v>
      </c>
      <c r="BE32" s="1">
        <v>0</v>
      </c>
      <c r="BF32" s="1">
        <v>0</v>
      </c>
      <c r="BG32" s="1">
        <v>0</v>
      </c>
      <c r="BH32" s="2"/>
      <c r="BI32" s="2">
        <f t="shared" si="0"/>
        <v>1950</v>
      </c>
      <c r="BJ32" s="2"/>
      <c r="BK32" s="2">
        <f t="shared" si="1"/>
        <v>1219.7790470390871</v>
      </c>
      <c r="BL32" s="2"/>
      <c r="BM32" s="2"/>
      <c r="BN32" s="2"/>
      <c r="BO32" s="2">
        <f t="shared" si="2"/>
        <v>-1950</v>
      </c>
      <c r="BP32" s="2"/>
      <c r="BQ32" s="2"/>
      <c r="BR32" s="2"/>
      <c r="BS32" s="2">
        <f t="shared" si="3"/>
        <v>1950</v>
      </c>
      <c r="BT32" s="2"/>
      <c r="BU32" s="2"/>
    </row>
    <row r="33" spans="1:73" ht="15" customHeight="1" x14ac:dyDescent="0.2">
      <c r="A33" s="1">
        <v>2044</v>
      </c>
      <c r="B33" s="1">
        <v>0</v>
      </c>
      <c r="C33" s="1">
        <v>0</v>
      </c>
      <c r="D33" s="1">
        <v>37.5</v>
      </c>
      <c r="E33" s="1">
        <v>37.5</v>
      </c>
      <c r="F33" s="1">
        <v>37.5</v>
      </c>
      <c r="G33" s="1">
        <v>37.5</v>
      </c>
      <c r="H33" s="1">
        <v>37.5</v>
      </c>
      <c r="I33" s="1">
        <v>37.5</v>
      </c>
      <c r="J33" s="1">
        <v>37.5</v>
      </c>
      <c r="K33" s="1">
        <v>37.5</v>
      </c>
      <c r="L33" s="1">
        <v>37.5</v>
      </c>
      <c r="M33" s="1">
        <v>37.5</v>
      </c>
      <c r="N33" s="1">
        <v>37.5</v>
      </c>
      <c r="O33" s="1">
        <v>37.5</v>
      </c>
      <c r="P33" s="1">
        <v>37.5</v>
      </c>
      <c r="Q33" s="1">
        <v>37.5</v>
      </c>
      <c r="R33" s="1">
        <v>37.5</v>
      </c>
      <c r="S33" s="1">
        <v>37.5</v>
      </c>
      <c r="T33" s="1">
        <v>37.5</v>
      </c>
      <c r="U33" s="1">
        <v>37.5</v>
      </c>
      <c r="V33" s="1">
        <v>37.5</v>
      </c>
      <c r="W33" s="1">
        <v>37.5</v>
      </c>
      <c r="X33" s="1">
        <v>37.5</v>
      </c>
      <c r="Y33" s="1">
        <v>37.5</v>
      </c>
      <c r="Z33" s="1">
        <v>37.5</v>
      </c>
      <c r="AA33" s="1">
        <v>37.5</v>
      </c>
      <c r="AB33" s="1">
        <v>37.5</v>
      </c>
      <c r="AC33" s="1">
        <v>37.5</v>
      </c>
      <c r="AD33" s="1">
        <v>37.5</v>
      </c>
      <c r="AE33" s="1">
        <v>37.5</v>
      </c>
      <c r="AF33" s="1">
        <v>37.5</v>
      </c>
      <c r="AG33" s="1">
        <v>37.5</v>
      </c>
      <c r="AH33" s="1">
        <v>37.5</v>
      </c>
      <c r="AI33" s="1">
        <v>37.5</v>
      </c>
      <c r="AJ33" s="1">
        <v>37.5</v>
      </c>
      <c r="AK33" s="1">
        <v>37.5</v>
      </c>
      <c r="AL33" s="1">
        <v>37.5</v>
      </c>
      <c r="AM33" s="1">
        <v>37.5</v>
      </c>
      <c r="AN33" s="1">
        <v>37.5</v>
      </c>
      <c r="AO33" s="1">
        <v>37.5</v>
      </c>
      <c r="AP33" s="1">
        <v>37.5</v>
      </c>
      <c r="AQ33" s="1">
        <v>37.5</v>
      </c>
      <c r="AR33" s="1">
        <v>37.5</v>
      </c>
      <c r="AS33" s="1">
        <v>37.5</v>
      </c>
      <c r="AT33" s="1">
        <v>37.5</v>
      </c>
      <c r="AU33" s="1">
        <v>37.5</v>
      </c>
      <c r="AV33" s="1">
        <v>37.5</v>
      </c>
      <c r="AW33" s="1">
        <v>37.5</v>
      </c>
      <c r="AX33" s="1">
        <v>37.5</v>
      </c>
      <c r="AY33" s="1">
        <v>37.5</v>
      </c>
      <c r="AZ33" s="1">
        <v>37.5</v>
      </c>
      <c r="BA33" s="1">
        <v>37.5</v>
      </c>
      <c r="BB33" s="1">
        <v>37.5</v>
      </c>
      <c r="BC33" s="1">
        <v>37.5</v>
      </c>
      <c r="BD33" s="1">
        <v>0</v>
      </c>
      <c r="BE33" s="1">
        <v>0</v>
      </c>
      <c r="BF33" s="1">
        <v>0</v>
      </c>
      <c r="BG33" s="1">
        <v>0</v>
      </c>
      <c r="BH33" s="2"/>
      <c r="BI33" s="2">
        <f t="shared" si="0"/>
        <v>1950</v>
      </c>
      <c r="BJ33" s="2"/>
      <c r="BK33" s="2">
        <f t="shared" si="1"/>
        <v>1190.0283385747191</v>
      </c>
      <c r="BL33" s="2"/>
      <c r="BM33" s="2"/>
      <c r="BN33" s="2"/>
      <c r="BO33" s="2">
        <f t="shared" si="2"/>
        <v>-1950</v>
      </c>
      <c r="BP33" s="2"/>
      <c r="BQ33" s="2"/>
      <c r="BR33" s="2"/>
      <c r="BS33" s="2">
        <f t="shared" si="3"/>
        <v>1950</v>
      </c>
      <c r="BT33" s="2"/>
      <c r="BU33" s="2"/>
    </row>
    <row r="34" spans="1:73" ht="15" customHeight="1" x14ac:dyDescent="0.2">
      <c r="A34" s="1">
        <v>2045</v>
      </c>
      <c r="B34" s="1">
        <v>0</v>
      </c>
      <c r="C34" s="1">
        <v>0</v>
      </c>
      <c r="D34" s="1">
        <v>37.5</v>
      </c>
      <c r="E34" s="1">
        <v>37.5</v>
      </c>
      <c r="F34" s="1">
        <v>37.5</v>
      </c>
      <c r="G34" s="1">
        <v>37.5</v>
      </c>
      <c r="H34" s="1">
        <v>37.5</v>
      </c>
      <c r="I34" s="1">
        <v>37.5</v>
      </c>
      <c r="J34" s="1">
        <v>37.5</v>
      </c>
      <c r="K34" s="1">
        <v>37.5</v>
      </c>
      <c r="L34" s="1">
        <v>37.5</v>
      </c>
      <c r="M34" s="1">
        <v>37.5</v>
      </c>
      <c r="N34" s="1">
        <v>37.5</v>
      </c>
      <c r="O34" s="1">
        <v>37.5</v>
      </c>
      <c r="P34" s="1">
        <v>37.5</v>
      </c>
      <c r="Q34" s="1">
        <v>37.5</v>
      </c>
      <c r="R34" s="1">
        <v>37.5</v>
      </c>
      <c r="S34" s="1">
        <v>37.5</v>
      </c>
      <c r="T34" s="1">
        <v>37.5</v>
      </c>
      <c r="U34" s="1">
        <v>37.5</v>
      </c>
      <c r="V34" s="1">
        <v>37.5</v>
      </c>
      <c r="W34" s="1">
        <v>37.5</v>
      </c>
      <c r="X34" s="1">
        <v>37.5</v>
      </c>
      <c r="Y34" s="1">
        <v>37.5</v>
      </c>
      <c r="Z34" s="1">
        <v>37.5</v>
      </c>
      <c r="AA34" s="1">
        <v>37.5</v>
      </c>
      <c r="AB34" s="1">
        <v>37.5</v>
      </c>
      <c r="AC34" s="1">
        <v>37.5</v>
      </c>
      <c r="AD34" s="1">
        <v>37.5</v>
      </c>
      <c r="AE34" s="1">
        <v>37.5</v>
      </c>
      <c r="AF34" s="1">
        <v>37.5</v>
      </c>
      <c r="AG34" s="1">
        <v>37.5</v>
      </c>
      <c r="AH34" s="1">
        <v>37.5</v>
      </c>
      <c r="AI34" s="1">
        <v>37.5</v>
      </c>
      <c r="AJ34" s="1">
        <v>37.5</v>
      </c>
      <c r="AK34" s="1">
        <v>37.5</v>
      </c>
      <c r="AL34" s="1">
        <v>37.5</v>
      </c>
      <c r="AM34" s="1">
        <v>37.5</v>
      </c>
      <c r="AN34" s="1">
        <v>37.5</v>
      </c>
      <c r="AO34" s="1">
        <v>37.5</v>
      </c>
      <c r="AP34" s="1">
        <v>37.5</v>
      </c>
      <c r="AQ34" s="1">
        <v>37.5</v>
      </c>
      <c r="AR34" s="1">
        <v>37.5</v>
      </c>
      <c r="AS34" s="1">
        <v>37.5</v>
      </c>
      <c r="AT34" s="1">
        <v>37.5</v>
      </c>
      <c r="AU34" s="1">
        <v>37.5</v>
      </c>
      <c r="AV34" s="1">
        <v>37.5</v>
      </c>
      <c r="AW34" s="1">
        <v>37.5</v>
      </c>
      <c r="AX34" s="1">
        <v>37.5</v>
      </c>
      <c r="AY34" s="1">
        <v>37.5</v>
      </c>
      <c r="AZ34" s="1">
        <v>37.5</v>
      </c>
      <c r="BA34" s="1">
        <v>37.5</v>
      </c>
      <c r="BB34" s="1">
        <v>37.5</v>
      </c>
      <c r="BC34" s="1">
        <v>37.5</v>
      </c>
      <c r="BD34" s="1">
        <v>0</v>
      </c>
      <c r="BE34" s="1">
        <v>0</v>
      </c>
      <c r="BF34" s="1">
        <v>0</v>
      </c>
      <c r="BG34" s="1">
        <v>0</v>
      </c>
      <c r="BH34" s="2"/>
      <c r="BI34" s="2">
        <f t="shared" si="0"/>
        <v>1950</v>
      </c>
      <c r="BJ34" s="2"/>
      <c r="BK34" s="2">
        <f t="shared" si="1"/>
        <v>1161.0032571460677</v>
      </c>
      <c r="BL34" s="2"/>
      <c r="BM34" s="2"/>
      <c r="BN34" s="2"/>
      <c r="BO34" s="2">
        <f t="shared" si="2"/>
        <v>-1950</v>
      </c>
      <c r="BP34" s="2"/>
      <c r="BQ34" s="2"/>
      <c r="BR34" s="2"/>
      <c r="BS34" s="2">
        <f t="shared" si="3"/>
        <v>1950</v>
      </c>
      <c r="BT34" s="2"/>
      <c r="BU34" s="2"/>
    </row>
    <row r="35" spans="1:73" ht="15" customHeight="1" x14ac:dyDescent="0.2">
      <c r="A35" s="1">
        <v>2046</v>
      </c>
      <c r="B35" s="1">
        <v>0</v>
      </c>
      <c r="C35" s="1">
        <v>0</v>
      </c>
      <c r="D35" s="1">
        <v>37.5</v>
      </c>
      <c r="E35" s="1">
        <v>37.5</v>
      </c>
      <c r="F35" s="1">
        <v>37.5</v>
      </c>
      <c r="G35" s="1">
        <v>37.5</v>
      </c>
      <c r="H35" s="1">
        <v>37.5</v>
      </c>
      <c r="I35" s="1">
        <v>37.5</v>
      </c>
      <c r="J35" s="1">
        <v>37.5</v>
      </c>
      <c r="K35" s="1">
        <v>37.5</v>
      </c>
      <c r="L35" s="1">
        <v>37.5</v>
      </c>
      <c r="M35" s="1">
        <v>37.5</v>
      </c>
      <c r="N35" s="1">
        <v>37.5</v>
      </c>
      <c r="O35" s="1">
        <v>37.5</v>
      </c>
      <c r="P35" s="1">
        <v>37.5</v>
      </c>
      <c r="Q35" s="1">
        <v>37.5</v>
      </c>
      <c r="R35" s="1">
        <v>37.5</v>
      </c>
      <c r="S35" s="1">
        <v>37.5</v>
      </c>
      <c r="T35" s="1">
        <v>37.5</v>
      </c>
      <c r="U35" s="1">
        <v>37.5</v>
      </c>
      <c r="V35" s="1">
        <v>37.5</v>
      </c>
      <c r="W35" s="1">
        <v>37.5</v>
      </c>
      <c r="X35" s="1">
        <v>37.5</v>
      </c>
      <c r="Y35" s="1">
        <v>37.5</v>
      </c>
      <c r="Z35" s="1">
        <v>37.5</v>
      </c>
      <c r="AA35" s="1">
        <v>37.5</v>
      </c>
      <c r="AB35" s="1">
        <v>37.5</v>
      </c>
      <c r="AC35" s="1">
        <v>37.5</v>
      </c>
      <c r="AD35" s="1">
        <v>37.5</v>
      </c>
      <c r="AE35" s="1">
        <v>37.5</v>
      </c>
      <c r="AF35" s="1">
        <v>37.5</v>
      </c>
      <c r="AG35" s="1">
        <v>37.5</v>
      </c>
      <c r="AH35" s="1">
        <v>37.5</v>
      </c>
      <c r="AI35" s="1">
        <v>37.5</v>
      </c>
      <c r="AJ35" s="1">
        <v>37.5</v>
      </c>
      <c r="AK35" s="1">
        <v>37.5</v>
      </c>
      <c r="AL35" s="1">
        <v>37.5</v>
      </c>
      <c r="AM35" s="1">
        <v>37.5</v>
      </c>
      <c r="AN35" s="1">
        <v>37.5</v>
      </c>
      <c r="AO35" s="1">
        <v>37.5</v>
      </c>
      <c r="AP35" s="1">
        <v>37.5</v>
      </c>
      <c r="AQ35" s="1">
        <v>37.5</v>
      </c>
      <c r="AR35" s="1">
        <v>37.5</v>
      </c>
      <c r="AS35" s="1">
        <v>37.5</v>
      </c>
      <c r="AT35" s="1">
        <v>37.5</v>
      </c>
      <c r="AU35" s="1">
        <v>37.5</v>
      </c>
      <c r="AV35" s="1">
        <v>37.5</v>
      </c>
      <c r="AW35" s="1">
        <v>37.5</v>
      </c>
      <c r="AX35" s="1">
        <v>37.5</v>
      </c>
      <c r="AY35" s="1">
        <v>37.5</v>
      </c>
      <c r="AZ35" s="1">
        <v>37.5</v>
      </c>
      <c r="BA35" s="1">
        <v>37.5</v>
      </c>
      <c r="BB35" s="1">
        <v>37.5</v>
      </c>
      <c r="BC35" s="1">
        <v>37.5</v>
      </c>
      <c r="BD35" s="1">
        <v>37.5</v>
      </c>
      <c r="BE35" s="1">
        <v>0</v>
      </c>
      <c r="BF35" s="1">
        <v>0</v>
      </c>
      <c r="BG35" s="1">
        <v>0</v>
      </c>
      <c r="BH35" s="2"/>
      <c r="BI35" s="2">
        <f t="shared" si="0"/>
        <v>1987.5</v>
      </c>
      <c r="BJ35" s="2"/>
      <c r="BK35" s="2">
        <f t="shared" si="1"/>
        <v>1154.4685296199173</v>
      </c>
      <c r="BL35" s="2"/>
      <c r="BM35" s="2"/>
      <c r="BN35" s="2"/>
      <c r="BO35" s="2">
        <f t="shared" si="2"/>
        <v>-1987.5</v>
      </c>
      <c r="BP35" s="2"/>
      <c r="BQ35" s="2"/>
      <c r="BR35" s="2"/>
      <c r="BS35" s="2">
        <f t="shared" si="3"/>
        <v>1987.5</v>
      </c>
      <c r="BT35" s="2"/>
      <c r="BU35" s="2"/>
    </row>
    <row r="36" spans="1:73" ht="15" customHeight="1" x14ac:dyDescent="0.2">
      <c r="A36" s="1">
        <v>2047</v>
      </c>
      <c r="B36" s="1">
        <v>0</v>
      </c>
      <c r="C36" s="1">
        <v>0</v>
      </c>
      <c r="D36" s="1">
        <v>37.5</v>
      </c>
      <c r="E36" s="1">
        <v>37.5</v>
      </c>
      <c r="F36" s="1">
        <v>37.5</v>
      </c>
      <c r="G36" s="1">
        <v>37.5</v>
      </c>
      <c r="H36" s="1">
        <v>37.5</v>
      </c>
      <c r="I36" s="1">
        <v>37.5</v>
      </c>
      <c r="J36" s="1">
        <v>37.5</v>
      </c>
      <c r="K36" s="1">
        <v>37.5</v>
      </c>
      <c r="L36" s="1">
        <v>37.5</v>
      </c>
      <c r="M36" s="1">
        <v>37.5</v>
      </c>
      <c r="N36" s="1">
        <v>37.5</v>
      </c>
      <c r="O36" s="1">
        <v>37.5</v>
      </c>
      <c r="P36" s="1">
        <v>37.5</v>
      </c>
      <c r="Q36" s="1">
        <v>37.5</v>
      </c>
      <c r="R36" s="1">
        <v>37.5</v>
      </c>
      <c r="S36" s="1">
        <v>37.5</v>
      </c>
      <c r="T36" s="1">
        <v>37.5</v>
      </c>
      <c r="U36" s="1">
        <v>37.5</v>
      </c>
      <c r="V36" s="1">
        <v>37.5</v>
      </c>
      <c r="W36" s="1">
        <v>37.5</v>
      </c>
      <c r="X36" s="1">
        <v>37.5</v>
      </c>
      <c r="Y36" s="1">
        <v>37.5</v>
      </c>
      <c r="Z36" s="1">
        <v>37.5</v>
      </c>
      <c r="AA36" s="1">
        <v>37.5</v>
      </c>
      <c r="AB36" s="1">
        <v>37.5</v>
      </c>
      <c r="AC36" s="1">
        <v>37.5</v>
      </c>
      <c r="AD36" s="1">
        <v>37.5</v>
      </c>
      <c r="AE36" s="1">
        <v>37.5</v>
      </c>
      <c r="AF36" s="1">
        <v>37.5</v>
      </c>
      <c r="AG36" s="1">
        <v>37.5</v>
      </c>
      <c r="AH36" s="1">
        <v>37.5</v>
      </c>
      <c r="AI36" s="1">
        <v>37.5</v>
      </c>
      <c r="AJ36" s="1">
        <v>37.5</v>
      </c>
      <c r="AK36" s="1">
        <v>37.5</v>
      </c>
      <c r="AL36" s="1">
        <v>37.5</v>
      </c>
      <c r="AM36" s="1">
        <v>37.5</v>
      </c>
      <c r="AN36" s="1">
        <v>37.5</v>
      </c>
      <c r="AO36" s="1">
        <v>37.5</v>
      </c>
      <c r="AP36" s="1">
        <v>37.5</v>
      </c>
      <c r="AQ36" s="1">
        <v>37.5</v>
      </c>
      <c r="AR36" s="1">
        <v>37.5</v>
      </c>
      <c r="AS36" s="1">
        <v>37.5</v>
      </c>
      <c r="AT36" s="1">
        <v>37.5</v>
      </c>
      <c r="AU36" s="1">
        <v>37.5</v>
      </c>
      <c r="AV36" s="1">
        <v>37.5</v>
      </c>
      <c r="AW36" s="1">
        <v>37.5</v>
      </c>
      <c r="AX36" s="1">
        <v>37.5</v>
      </c>
      <c r="AY36" s="1">
        <v>37.5</v>
      </c>
      <c r="AZ36" s="1">
        <v>37.5</v>
      </c>
      <c r="BA36" s="1">
        <v>37.5</v>
      </c>
      <c r="BB36" s="1">
        <v>37.5</v>
      </c>
      <c r="BC36" s="1">
        <v>37.5</v>
      </c>
      <c r="BD36" s="1">
        <v>37.5</v>
      </c>
      <c r="BE36" s="1">
        <v>37.5</v>
      </c>
      <c r="BF36" s="1">
        <v>37.5</v>
      </c>
      <c r="BG36" s="1">
        <v>0</v>
      </c>
      <c r="BH36" s="2"/>
      <c r="BI36" s="2">
        <f t="shared" si="0"/>
        <v>2062.5</v>
      </c>
      <c r="BJ36" s="2"/>
      <c r="BK36" s="2">
        <f t="shared" si="1"/>
        <v>1168.8130534578083</v>
      </c>
      <c r="BL36" s="2"/>
      <c r="BM36" s="2"/>
      <c r="BN36" s="2"/>
      <c r="BO36" s="2">
        <f t="shared" si="2"/>
        <v>-2062.5</v>
      </c>
      <c r="BP36" s="2"/>
      <c r="BQ36" s="2"/>
      <c r="BR36" s="2"/>
      <c r="BS36" s="2">
        <f t="shared" si="3"/>
        <v>2062.5</v>
      </c>
      <c r="BT36" s="2"/>
      <c r="BU36" s="2"/>
    </row>
    <row r="37" spans="1:73" ht="15" customHeight="1" x14ac:dyDescent="0.2">
      <c r="A37" s="1">
        <v>2048</v>
      </c>
      <c r="B37" s="1">
        <v>0</v>
      </c>
      <c r="C37" s="1">
        <v>0</v>
      </c>
      <c r="D37" s="1">
        <v>37.5</v>
      </c>
      <c r="E37" s="1">
        <v>37.5</v>
      </c>
      <c r="F37" s="1">
        <v>37.5</v>
      </c>
      <c r="G37" s="1">
        <v>37.5</v>
      </c>
      <c r="H37" s="1">
        <v>37.5</v>
      </c>
      <c r="I37" s="1">
        <v>37.5</v>
      </c>
      <c r="J37" s="1">
        <v>37.5</v>
      </c>
      <c r="K37" s="1">
        <v>37.5</v>
      </c>
      <c r="L37" s="1">
        <v>37.5</v>
      </c>
      <c r="M37" s="1">
        <v>37.5</v>
      </c>
      <c r="N37" s="1">
        <v>37.5</v>
      </c>
      <c r="O37" s="1">
        <v>37.5</v>
      </c>
      <c r="P37" s="1">
        <v>37.5</v>
      </c>
      <c r="Q37" s="1">
        <v>37.5</v>
      </c>
      <c r="R37" s="1">
        <v>37.5</v>
      </c>
      <c r="S37" s="1">
        <v>37.5</v>
      </c>
      <c r="T37" s="1">
        <v>37.5</v>
      </c>
      <c r="U37" s="1">
        <v>37.5</v>
      </c>
      <c r="V37" s="1">
        <v>37.5</v>
      </c>
      <c r="W37" s="1">
        <v>37.5</v>
      </c>
      <c r="X37" s="1">
        <v>37.5</v>
      </c>
      <c r="Y37" s="1">
        <v>37.5</v>
      </c>
      <c r="Z37" s="1">
        <v>37.5</v>
      </c>
      <c r="AA37" s="1">
        <v>37.5</v>
      </c>
      <c r="AB37" s="1">
        <v>37.5</v>
      </c>
      <c r="AC37" s="1">
        <v>37.5</v>
      </c>
      <c r="AD37" s="1">
        <v>37.5</v>
      </c>
      <c r="AE37" s="1">
        <v>37.5</v>
      </c>
      <c r="AF37" s="1">
        <v>37.5</v>
      </c>
      <c r="AG37" s="1">
        <v>37.5</v>
      </c>
      <c r="AH37" s="1">
        <v>37.5</v>
      </c>
      <c r="AI37" s="1">
        <v>37.5</v>
      </c>
      <c r="AJ37" s="1">
        <v>37.5</v>
      </c>
      <c r="AK37" s="1">
        <v>37.5</v>
      </c>
      <c r="AL37" s="1">
        <v>37.5</v>
      </c>
      <c r="AM37" s="1">
        <v>37.5</v>
      </c>
      <c r="AN37" s="1">
        <v>37.5</v>
      </c>
      <c r="AO37" s="1">
        <v>37.5</v>
      </c>
      <c r="AP37" s="1">
        <v>37.5</v>
      </c>
      <c r="AQ37" s="1">
        <v>37.5</v>
      </c>
      <c r="AR37" s="1">
        <v>37.5</v>
      </c>
      <c r="AS37" s="1">
        <v>37.5</v>
      </c>
      <c r="AT37" s="1">
        <v>37.5</v>
      </c>
      <c r="AU37" s="1">
        <v>37.5</v>
      </c>
      <c r="AV37" s="1">
        <v>37.5</v>
      </c>
      <c r="AW37" s="1">
        <v>37.5</v>
      </c>
      <c r="AX37" s="1">
        <v>37.5</v>
      </c>
      <c r="AY37" s="1">
        <v>37.5</v>
      </c>
      <c r="AZ37" s="1">
        <v>37.5</v>
      </c>
      <c r="BA37" s="1">
        <v>37.5</v>
      </c>
      <c r="BB37" s="1">
        <v>37.5</v>
      </c>
      <c r="BC37" s="1">
        <v>37.5</v>
      </c>
      <c r="BD37" s="1">
        <v>37.5</v>
      </c>
      <c r="BE37" s="1">
        <v>37.5</v>
      </c>
      <c r="BF37" s="1">
        <v>37.5</v>
      </c>
      <c r="BG37" s="1">
        <v>0</v>
      </c>
      <c r="BH37" s="2"/>
      <c r="BI37" s="2">
        <f t="shared" si="0"/>
        <v>2062.5</v>
      </c>
      <c r="BJ37" s="2"/>
      <c r="BK37" s="2">
        <f t="shared" si="1"/>
        <v>1140.3054180076181</v>
      </c>
      <c r="BL37" s="2"/>
      <c r="BM37" s="2"/>
      <c r="BN37" s="2"/>
      <c r="BO37" s="2">
        <f t="shared" si="2"/>
        <v>-2062.5</v>
      </c>
      <c r="BP37" s="2"/>
      <c r="BQ37" s="2"/>
      <c r="BR37" s="2"/>
      <c r="BS37" s="2">
        <f t="shared" si="3"/>
        <v>2062.5</v>
      </c>
      <c r="BT37" s="2"/>
      <c r="BU37" s="2"/>
    </row>
    <row r="38" spans="1:73" ht="15" customHeight="1" x14ac:dyDescent="0.2">
      <c r="A38" s="1">
        <v>2049</v>
      </c>
      <c r="B38" s="1">
        <v>0</v>
      </c>
      <c r="C38" s="1">
        <v>0</v>
      </c>
      <c r="D38" s="1">
        <v>0</v>
      </c>
      <c r="E38" s="1">
        <v>0</v>
      </c>
      <c r="F38" s="1">
        <v>37.5</v>
      </c>
      <c r="G38" s="1">
        <v>37.5</v>
      </c>
      <c r="H38" s="1">
        <v>37.5</v>
      </c>
      <c r="I38" s="1">
        <v>37.5</v>
      </c>
      <c r="J38" s="1">
        <v>37.5</v>
      </c>
      <c r="K38" s="1">
        <v>37.5</v>
      </c>
      <c r="L38" s="1">
        <v>37.5</v>
      </c>
      <c r="M38" s="1">
        <v>37.5</v>
      </c>
      <c r="N38" s="1">
        <v>37.5</v>
      </c>
      <c r="O38" s="1">
        <v>37.5</v>
      </c>
      <c r="P38" s="1">
        <v>37.5</v>
      </c>
      <c r="Q38" s="1">
        <v>37.5</v>
      </c>
      <c r="R38" s="1">
        <v>37.5</v>
      </c>
      <c r="S38" s="1">
        <v>37.5</v>
      </c>
      <c r="T38" s="1">
        <v>37.5</v>
      </c>
      <c r="U38" s="1">
        <v>37.5</v>
      </c>
      <c r="V38" s="1">
        <v>37.5</v>
      </c>
      <c r="W38" s="1">
        <v>37.5</v>
      </c>
      <c r="X38" s="1">
        <v>37.5</v>
      </c>
      <c r="Y38" s="1">
        <v>37.5</v>
      </c>
      <c r="Z38" s="1">
        <v>37.5</v>
      </c>
      <c r="AA38" s="1">
        <v>37.5</v>
      </c>
      <c r="AB38" s="1">
        <v>37.5</v>
      </c>
      <c r="AC38" s="1">
        <v>37.5</v>
      </c>
      <c r="AD38" s="1">
        <v>37.5</v>
      </c>
      <c r="AE38" s="1">
        <v>37.5</v>
      </c>
      <c r="AF38" s="1">
        <v>37.5</v>
      </c>
      <c r="AG38" s="1">
        <v>37.5</v>
      </c>
      <c r="AH38" s="1">
        <v>37.5</v>
      </c>
      <c r="AI38" s="1">
        <v>37.5</v>
      </c>
      <c r="AJ38" s="1">
        <v>37.5</v>
      </c>
      <c r="AK38" s="1">
        <v>37.5</v>
      </c>
      <c r="AL38" s="1">
        <v>37.5</v>
      </c>
      <c r="AM38" s="1">
        <v>37.5</v>
      </c>
      <c r="AN38" s="1">
        <v>37.5</v>
      </c>
      <c r="AO38" s="1">
        <v>37.5</v>
      </c>
      <c r="AP38" s="1">
        <v>37.5</v>
      </c>
      <c r="AQ38" s="1">
        <v>37.5</v>
      </c>
      <c r="AR38" s="1">
        <v>37.5</v>
      </c>
      <c r="AS38" s="1">
        <v>37.5</v>
      </c>
      <c r="AT38" s="1">
        <v>37.5</v>
      </c>
      <c r="AU38" s="1">
        <v>37.5</v>
      </c>
      <c r="AV38" s="1">
        <v>37.5</v>
      </c>
      <c r="AW38" s="1">
        <v>37.5</v>
      </c>
      <c r="AX38" s="1">
        <v>37.5</v>
      </c>
      <c r="AY38" s="1">
        <v>37.5</v>
      </c>
      <c r="AZ38" s="1">
        <v>37.5</v>
      </c>
      <c r="BA38" s="1">
        <v>37.5</v>
      </c>
      <c r="BB38" s="1">
        <v>37.5</v>
      </c>
      <c r="BC38" s="1">
        <v>37.5</v>
      </c>
      <c r="BD38" s="1">
        <v>37.5</v>
      </c>
      <c r="BE38" s="1">
        <v>37.5</v>
      </c>
      <c r="BF38" s="1">
        <v>37.5</v>
      </c>
      <c r="BG38" s="1">
        <v>37.5</v>
      </c>
      <c r="BH38" s="2"/>
      <c r="BI38" s="2">
        <f t="shared" si="0"/>
        <v>2025</v>
      </c>
      <c r="BJ38" s="2"/>
      <c r="BK38" s="2">
        <f t="shared" si="1"/>
        <v>1092.2659436347917</v>
      </c>
      <c r="BL38" s="2"/>
      <c r="BM38" s="2"/>
      <c r="BN38" s="2"/>
      <c r="BO38" s="2">
        <f t="shared" si="2"/>
        <v>-2025</v>
      </c>
      <c r="BP38" s="2"/>
      <c r="BQ38" s="2"/>
      <c r="BR38" s="2"/>
      <c r="BS38" s="2">
        <f t="shared" si="3"/>
        <v>2025</v>
      </c>
      <c r="BT38" s="2"/>
      <c r="BU38" s="2"/>
    </row>
    <row r="39" spans="1:73" ht="15" customHeight="1" x14ac:dyDescent="0.2">
      <c r="A39" s="1">
        <v>2050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37.5</v>
      </c>
      <c r="I39" s="1">
        <v>37.5</v>
      </c>
      <c r="J39" s="1">
        <v>37.5</v>
      </c>
      <c r="K39" s="1">
        <v>37.5</v>
      </c>
      <c r="L39" s="1">
        <v>37.5</v>
      </c>
      <c r="M39" s="1">
        <v>37.5</v>
      </c>
      <c r="N39" s="1">
        <v>37.5</v>
      </c>
      <c r="O39" s="1">
        <v>37.5</v>
      </c>
      <c r="P39" s="1">
        <v>37.5</v>
      </c>
      <c r="Q39" s="1">
        <v>37.5</v>
      </c>
      <c r="R39" s="1">
        <v>37.5</v>
      </c>
      <c r="S39" s="1">
        <v>37.5</v>
      </c>
      <c r="T39" s="1">
        <v>37.5</v>
      </c>
      <c r="U39" s="1">
        <v>37.5</v>
      </c>
      <c r="V39" s="1">
        <v>37.5</v>
      </c>
      <c r="W39" s="1">
        <v>37.5</v>
      </c>
      <c r="X39" s="1">
        <v>37.5</v>
      </c>
      <c r="Y39" s="1">
        <v>37.5</v>
      </c>
      <c r="Z39" s="1">
        <v>37.5</v>
      </c>
      <c r="AA39" s="1">
        <v>37.5</v>
      </c>
      <c r="AB39" s="1">
        <v>37.5</v>
      </c>
      <c r="AC39" s="1">
        <v>37.5</v>
      </c>
      <c r="AD39" s="1">
        <v>37.5</v>
      </c>
      <c r="AE39" s="1">
        <v>37.5</v>
      </c>
      <c r="AF39" s="1">
        <v>37.5</v>
      </c>
      <c r="AG39" s="1">
        <v>37.5</v>
      </c>
      <c r="AH39" s="1">
        <v>37.5</v>
      </c>
      <c r="AI39" s="1">
        <v>37.5</v>
      </c>
      <c r="AJ39" s="1">
        <v>37.5</v>
      </c>
      <c r="AK39" s="1">
        <v>37.5</v>
      </c>
      <c r="AL39" s="1">
        <v>37.5</v>
      </c>
      <c r="AM39" s="1">
        <v>37.5</v>
      </c>
      <c r="AN39" s="1">
        <v>37.5</v>
      </c>
      <c r="AO39" s="1">
        <v>37.5</v>
      </c>
      <c r="AP39" s="1">
        <v>37.5</v>
      </c>
      <c r="AQ39" s="1">
        <v>37.5</v>
      </c>
      <c r="AR39" s="1">
        <v>37.5</v>
      </c>
      <c r="AS39" s="1">
        <v>37.5</v>
      </c>
      <c r="AT39" s="1">
        <v>37.5</v>
      </c>
      <c r="AU39" s="1">
        <v>37.5</v>
      </c>
      <c r="AV39" s="1">
        <v>37.5</v>
      </c>
      <c r="AW39" s="1">
        <v>37.5</v>
      </c>
      <c r="AX39" s="1">
        <v>37.5</v>
      </c>
      <c r="AY39" s="1">
        <v>37.5</v>
      </c>
      <c r="AZ39" s="1">
        <v>37.5</v>
      </c>
      <c r="BA39" s="1">
        <v>37.5</v>
      </c>
      <c r="BB39" s="1">
        <v>37.5</v>
      </c>
      <c r="BC39" s="1">
        <v>37.5</v>
      </c>
      <c r="BD39" s="1">
        <v>37.5</v>
      </c>
      <c r="BE39" s="1">
        <v>37.5</v>
      </c>
      <c r="BF39" s="1">
        <v>37.5</v>
      </c>
      <c r="BG39" s="1">
        <v>37.5</v>
      </c>
      <c r="BH39" s="2"/>
      <c r="BI39" s="2">
        <f t="shared" si="0"/>
        <v>1950</v>
      </c>
      <c r="BJ39" s="2"/>
      <c r="BK39" s="2">
        <f t="shared" si="1"/>
        <v>1026.1577067571666</v>
      </c>
      <c r="BL39" s="2"/>
      <c r="BM39" s="2"/>
      <c r="BN39" s="2"/>
      <c r="BO39" s="2">
        <f t="shared" si="2"/>
        <v>-1950</v>
      </c>
      <c r="BP39" s="2"/>
      <c r="BQ39" s="2"/>
      <c r="BR39" s="2"/>
      <c r="BS39" s="2">
        <f t="shared" si="3"/>
        <v>1950</v>
      </c>
      <c r="BT39" s="2"/>
      <c r="BU39" s="2"/>
    </row>
    <row r="40" spans="1:73" ht="15" customHeight="1" x14ac:dyDescent="0.2">
      <c r="A40" s="1">
        <v>2051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37.5</v>
      </c>
      <c r="Q40" s="1">
        <v>37.5</v>
      </c>
      <c r="R40" s="1">
        <v>37.5</v>
      </c>
      <c r="S40" s="1">
        <v>37.5</v>
      </c>
      <c r="T40" s="1">
        <v>37.5</v>
      </c>
      <c r="U40" s="1">
        <v>37.5</v>
      </c>
      <c r="V40" s="1">
        <v>37.5</v>
      </c>
      <c r="W40" s="1">
        <v>37.5</v>
      </c>
      <c r="X40" s="1">
        <v>37.5</v>
      </c>
      <c r="Y40" s="1">
        <v>37.5</v>
      </c>
      <c r="Z40" s="1">
        <v>37.5</v>
      </c>
      <c r="AA40" s="1">
        <v>37.5</v>
      </c>
      <c r="AB40" s="1">
        <v>37.5</v>
      </c>
      <c r="AC40" s="1">
        <v>37.5</v>
      </c>
      <c r="AD40" s="1">
        <v>37.5</v>
      </c>
      <c r="AE40" s="1">
        <v>37.5</v>
      </c>
      <c r="AF40" s="1">
        <v>37.5</v>
      </c>
      <c r="AG40" s="1">
        <v>37.5</v>
      </c>
      <c r="AH40" s="1">
        <v>37.5</v>
      </c>
      <c r="AI40" s="1">
        <v>37.5</v>
      </c>
      <c r="AJ40" s="1">
        <v>37.5</v>
      </c>
      <c r="AK40" s="1">
        <v>37.5</v>
      </c>
      <c r="AL40" s="1">
        <v>37.5</v>
      </c>
      <c r="AM40" s="1">
        <v>37.5</v>
      </c>
      <c r="AN40" s="1">
        <v>37.5</v>
      </c>
      <c r="AO40" s="1">
        <v>37.5</v>
      </c>
      <c r="AP40" s="1">
        <v>37.5</v>
      </c>
      <c r="AQ40" s="1">
        <v>37.5</v>
      </c>
      <c r="AR40" s="1">
        <v>37.5</v>
      </c>
      <c r="AS40" s="1">
        <v>37.5</v>
      </c>
      <c r="AT40" s="1">
        <v>37.5</v>
      </c>
      <c r="AU40" s="1">
        <v>37.5</v>
      </c>
      <c r="AV40" s="1">
        <v>37.5</v>
      </c>
      <c r="AW40" s="1">
        <v>37.5</v>
      </c>
      <c r="AX40" s="1">
        <v>37.5</v>
      </c>
      <c r="AY40" s="1">
        <v>37.5</v>
      </c>
      <c r="AZ40" s="1">
        <v>37.5</v>
      </c>
      <c r="BA40" s="1">
        <v>37.5</v>
      </c>
      <c r="BB40" s="1">
        <v>37.5</v>
      </c>
      <c r="BC40" s="1">
        <v>37.5</v>
      </c>
      <c r="BD40" s="1">
        <v>37.5</v>
      </c>
      <c r="BE40" s="1">
        <v>37.5</v>
      </c>
      <c r="BF40" s="1">
        <v>37.5</v>
      </c>
      <c r="BG40" s="1">
        <v>37.5</v>
      </c>
      <c r="BH40" s="2"/>
      <c r="BI40" s="2">
        <f t="shared" si="0"/>
        <v>1650</v>
      </c>
      <c r="BJ40" s="2"/>
      <c r="BK40" s="2">
        <f t="shared" si="1"/>
        <v>847.10955154437772</v>
      </c>
      <c r="BL40" s="2"/>
      <c r="BM40" s="2"/>
      <c r="BN40" s="2"/>
      <c r="BO40" s="2">
        <f t="shared" si="2"/>
        <v>-1650</v>
      </c>
      <c r="BP40" s="2"/>
      <c r="BQ40" s="2"/>
      <c r="BR40" s="2"/>
      <c r="BS40" s="2">
        <f t="shared" si="3"/>
        <v>1650</v>
      </c>
      <c r="BT40" s="2"/>
      <c r="BU40" s="2"/>
    </row>
    <row r="41" spans="1:73" ht="15" customHeight="1" x14ac:dyDescent="0.2">
      <c r="A41" s="1">
        <v>2052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37.5</v>
      </c>
      <c r="X41" s="1">
        <v>37.5</v>
      </c>
      <c r="Y41" s="1">
        <v>37.5</v>
      </c>
      <c r="Z41" s="1">
        <v>37.5</v>
      </c>
      <c r="AA41" s="1">
        <v>37.5</v>
      </c>
      <c r="AB41" s="1">
        <v>37.5</v>
      </c>
      <c r="AC41" s="1">
        <v>37.5</v>
      </c>
      <c r="AD41" s="1">
        <v>37.5</v>
      </c>
      <c r="AE41" s="1">
        <v>37.5</v>
      </c>
      <c r="AF41" s="1">
        <v>37.5</v>
      </c>
      <c r="AG41" s="1">
        <v>37.5</v>
      </c>
      <c r="AH41" s="1">
        <v>37.5</v>
      </c>
      <c r="AI41" s="1">
        <v>37.5</v>
      </c>
      <c r="AJ41" s="1">
        <v>37.5</v>
      </c>
      <c r="AK41" s="1">
        <v>37.5</v>
      </c>
      <c r="AL41" s="1">
        <v>37.5</v>
      </c>
      <c r="AM41" s="1">
        <v>37.5</v>
      </c>
      <c r="AN41" s="1">
        <v>37.5</v>
      </c>
      <c r="AO41" s="1">
        <v>37.5</v>
      </c>
      <c r="AP41" s="1">
        <v>37.5</v>
      </c>
      <c r="AQ41" s="1">
        <v>37.5</v>
      </c>
      <c r="AR41" s="1">
        <v>37.5</v>
      </c>
      <c r="AS41" s="1">
        <v>37.5</v>
      </c>
      <c r="AT41" s="1">
        <v>37.5</v>
      </c>
      <c r="AU41" s="1">
        <v>37.5</v>
      </c>
      <c r="AV41" s="1">
        <v>37.5</v>
      </c>
      <c r="AW41" s="1">
        <v>37.5</v>
      </c>
      <c r="AX41" s="1">
        <v>37.5</v>
      </c>
      <c r="AY41" s="1">
        <v>37.5</v>
      </c>
      <c r="AZ41" s="1">
        <v>37.5</v>
      </c>
      <c r="BA41" s="1">
        <v>37.5</v>
      </c>
      <c r="BB41" s="1">
        <v>37.5</v>
      </c>
      <c r="BC41" s="1">
        <v>37.5</v>
      </c>
      <c r="BD41" s="1">
        <v>37.5</v>
      </c>
      <c r="BE41" s="1">
        <v>37.5</v>
      </c>
      <c r="BF41" s="1">
        <v>37.5</v>
      </c>
      <c r="BG41" s="1">
        <v>37.5</v>
      </c>
      <c r="BH41" s="2"/>
      <c r="BI41" s="2">
        <f t="shared" si="0"/>
        <v>1387.5</v>
      </c>
      <c r="BJ41" s="2"/>
      <c r="BK41" s="2">
        <f t="shared" si="1"/>
        <v>694.96792477033216</v>
      </c>
      <c r="BL41" s="2"/>
      <c r="BM41" s="2"/>
      <c r="BN41" s="2"/>
      <c r="BO41" s="2">
        <f t="shared" si="2"/>
        <v>-1387.5</v>
      </c>
      <c r="BP41" s="2"/>
      <c r="BQ41" s="2"/>
      <c r="BR41" s="2"/>
      <c r="BS41" s="2">
        <f t="shared" si="3"/>
        <v>1387.5</v>
      </c>
      <c r="BT41" s="2"/>
      <c r="BU41" s="2"/>
    </row>
    <row r="42" spans="1:73" ht="15" customHeight="1" x14ac:dyDescent="0.2">
      <c r="A42" s="1">
        <v>2053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37.5</v>
      </c>
      <c r="Z42" s="1">
        <v>37.5</v>
      </c>
      <c r="AA42" s="1">
        <v>37.5</v>
      </c>
      <c r="AB42" s="1">
        <v>37.5</v>
      </c>
      <c r="AC42" s="1">
        <v>37.5</v>
      </c>
      <c r="AD42" s="1">
        <v>37.5</v>
      </c>
      <c r="AE42" s="1">
        <v>37.5</v>
      </c>
      <c r="AF42" s="1">
        <v>37.5</v>
      </c>
      <c r="AG42" s="1">
        <v>37.5</v>
      </c>
      <c r="AH42" s="1">
        <v>37.5</v>
      </c>
      <c r="AI42" s="1">
        <v>37.5</v>
      </c>
      <c r="AJ42" s="1">
        <v>37.5</v>
      </c>
      <c r="AK42" s="1">
        <v>37.5</v>
      </c>
      <c r="AL42" s="1">
        <v>37.5</v>
      </c>
      <c r="AM42" s="1">
        <v>37.5</v>
      </c>
      <c r="AN42" s="1">
        <v>37.5</v>
      </c>
      <c r="AO42" s="1">
        <v>37.5</v>
      </c>
      <c r="AP42" s="1">
        <v>37.5</v>
      </c>
      <c r="AQ42" s="1">
        <v>37.5</v>
      </c>
      <c r="AR42" s="1">
        <v>37.5</v>
      </c>
      <c r="AS42" s="1">
        <v>37.5</v>
      </c>
      <c r="AT42" s="1">
        <v>37.5</v>
      </c>
      <c r="AU42" s="1">
        <v>37.5</v>
      </c>
      <c r="AV42" s="1">
        <v>37.5</v>
      </c>
      <c r="AW42" s="1">
        <v>37.5</v>
      </c>
      <c r="AX42" s="1">
        <v>37.5</v>
      </c>
      <c r="AY42" s="1">
        <v>37.5</v>
      </c>
      <c r="AZ42" s="1">
        <v>37.5</v>
      </c>
      <c r="BA42" s="1">
        <v>37.5</v>
      </c>
      <c r="BB42" s="1">
        <v>37.5</v>
      </c>
      <c r="BC42" s="1">
        <v>37.5</v>
      </c>
      <c r="BD42" s="1">
        <v>37.5</v>
      </c>
      <c r="BE42" s="1">
        <v>37.5</v>
      </c>
      <c r="BF42" s="1">
        <v>37.5</v>
      </c>
      <c r="BG42" s="1">
        <v>37.5</v>
      </c>
      <c r="BH42" s="2"/>
      <c r="BI42" s="2">
        <f t="shared" si="0"/>
        <v>1312.5</v>
      </c>
      <c r="BJ42" s="2"/>
      <c r="BK42" s="2">
        <f t="shared" si="1"/>
        <v>641.36789365752463</v>
      </c>
      <c r="BL42" s="2"/>
      <c r="BM42" s="2"/>
      <c r="BN42" s="2"/>
      <c r="BO42" s="2">
        <f t="shared" si="2"/>
        <v>-1312.5</v>
      </c>
      <c r="BP42" s="2"/>
      <c r="BQ42" s="2"/>
      <c r="BR42" s="2"/>
      <c r="BS42" s="2">
        <f t="shared" si="3"/>
        <v>1312.5</v>
      </c>
      <c r="BT42" s="2"/>
      <c r="BU42" s="2"/>
    </row>
    <row r="43" spans="1:73" ht="15" customHeight="1" x14ac:dyDescent="0.2">
      <c r="A43" s="1">
        <v>2054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37.5</v>
      </c>
      <c r="AD43" s="1">
        <v>37.5</v>
      </c>
      <c r="AE43" s="1">
        <v>37.5</v>
      </c>
      <c r="AF43" s="1">
        <v>37.5</v>
      </c>
      <c r="AG43" s="1">
        <v>37.5</v>
      </c>
      <c r="AH43" s="1">
        <v>37.5</v>
      </c>
      <c r="AI43" s="1">
        <v>37.5</v>
      </c>
      <c r="AJ43" s="1">
        <v>37.5</v>
      </c>
      <c r="AK43" s="1">
        <v>37.5</v>
      </c>
      <c r="AL43" s="1">
        <v>37.5</v>
      </c>
      <c r="AM43" s="1">
        <v>37.5</v>
      </c>
      <c r="AN43" s="1">
        <v>37.5</v>
      </c>
      <c r="AO43" s="1">
        <v>37.5</v>
      </c>
      <c r="AP43" s="1">
        <v>37.5</v>
      </c>
      <c r="AQ43" s="1">
        <v>37.5</v>
      </c>
      <c r="AR43" s="1">
        <v>37.5</v>
      </c>
      <c r="AS43" s="1">
        <v>37.5</v>
      </c>
      <c r="AT43" s="1">
        <v>37.5</v>
      </c>
      <c r="AU43" s="1">
        <v>37.5</v>
      </c>
      <c r="AV43" s="1">
        <v>37.5</v>
      </c>
      <c r="AW43" s="1">
        <v>37.5</v>
      </c>
      <c r="AX43" s="1">
        <v>37.5</v>
      </c>
      <c r="AY43" s="1">
        <v>37.5</v>
      </c>
      <c r="AZ43" s="1">
        <v>37.5</v>
      </c>
      <c r="BA43" s="1">
        <v>37.5</v>
      </c>
      <c r="BB43" s="1">
        <v>37.5</v>
      </c>
      <c r="BC43" s="1">
        <v>37.5</v>
      </c>
      <c r="BD43" s="1">
        <v>37.5</v>
      </c>
      <c r="BE43" s="1">
        <v>37.5</v>
      </c>
      <c r="BF43" s="1">
        <v>37.5</v>
      </c>
      <c r="BG43" s="1">
        <v>37.5</v>
      </c>
      <c r="BH43" s="2"/>
      <c r="BI43" s="2">
        <f t="shared" si="0"/>
        <v>1162.5</v>
      </c>
      <c r="BJ43" s="2"/>
      <c r="BK43" s="2">
        <f t="shared" si="1"/>
        <v>554.21337152287856</v>
      </c>
      <c r="BL43" s="2"/>
      <c r="BM43" s="2"/>
      <c r="BN43" s="2"/>
      <c r="BO43" s="2">
        <f t="shared" si="2"/>
        <v>-1162.5</v>
      </c>
      <c r="BP43" s="2"/>
      <c r="BQ43" s="2"/>
      <c r="BR43" s="2"/>
      <c r="BS43" s="2">
        <f t="shared" si="3"/>
        <v>1162.5</v>
      </c>
      <c r="BT43" s="2"/>
      <c r="BU43" s="2"/>
    </row>
    <row r="44" spans="1:73" ht="15" customHeight="1" x14ac:dyDescent="0.2">
      <c r="A44" s="1">
        <v>2055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37.5</v>
      </c>
      <c r="AJ44" s="1">
        <v>37.5</v>
      </c>
      <c r="AK44" s="1">
        <v>37.5</v>
      </c>
      <c r="AL44" s="1">
        <v>37.5</v>
      </c>
      <c r="AM44" s="1">
        <v>37.5</v>
      </c>
      <c r="AN44" s="1">
        <v>37.5</v>
      </c>
      <c r="AO44" s="1">
        <v>37.5</v>
      </c>
      <c r="AP44" s="1">
        <v>37.5</v>
      </c>
      <c r="AQ44" s="1">
        <v>37.5</v>
      </c>
      <c r="AR44" s="1">
        <v>37.5</v>
      </c>
      <c r="AS44" s="1">
        <v>37.5</v>
      </c>
      <c r="AT44" s="1">
        <v>37.5</v>
      </c>
      <c r="AU44" s="1">
        <v>37.5</v>
      </c>
      <c r="AV44" s="1">
        <v>37.5</v>
      </c>
      <c r="AW44" s="1">
        <v>37.5</v>
      </c>
      <c r="AX44" s="1">
        <v>37.5</v>
      </c>
      <c r="AY44" s="1">
        <v>37.5</v>
      </c>
      <c r="AZ44" s="1">
        <v>37.5</v>
      </c>
      <c r="BA44" s="1">
        <v>37.5</v>
      </c>
      <c r="BB44" s="1">
        <v>37.5</v>
      </c>
      <c r="BC44" s="1">
        <v>37.5</v>
      </c>
      <c r="BD44" s="1">
        <v>37.5</v>
      </c>
      <c r="BE44" s="1">
        <v>37.5</v>
      </c>
      <c r="BF44" s="1">
        <v>37.5</v>
      </c>
      <c r="BG44" s="1">
        <v>37.5</v>
      </c>
      <c r="BH44" s="2"/>
      <c r="BI44" s="2">
        <f t="shared" si="0"/>
        <v>937.5</v>
      </c>
      <c r="BJ44" s="2"/>
      <c r="BK44" s="2">
        <f t="shared" si="1"/>
        <v>436.04513888503419</v>
      </c>
      <c r="BL44" s="2"/>
      <c r="BM44" s="2"/>
      <c r="BN44" s="2"/>
      <c r="BO44" s="2">
        <f t="shared" si="2"/>
        <v>-937.5</v>
      </c>
      <c r="BP44" s="2"/>
      <c r="BQ44" s="2"/>
      <c r="BR44" s="2"/>
      <c r="BS44" s="2">
        <f t="shared" si="3"/>
        <v>937.5</v>
      </c>
      <c r="BT44" s="2"/>
      <c r="BU44" s="2"/>
    </row>
    <row r="45" spans="1:73" ht="15" customHeight="1" x14ac:dyDescent="0.2">
      <c r="A45" s="1">
        <v>2056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37.5</v>
      </c>
      <c r="AN45" s="1">
        <v>37.5</v>
      </c>
      <c r="AO45" s="1">
        <v>37.5</v>
      </c>
      <c r="AP45" s="1">
        <v>37.5</v>
      </c>
      <c r="AQ45" s="1">
        <v>37.5</v>
      </c>
      <c r="AR45" s="1">
        <v>37.5</v>
      </c>
      <c r="AS45" s="1">
        <v>37.5</v>
      </c>
      <c r="AT45" s="1">
        <v>37.5</v>
      </c>
      <c r="AU45" s="1">
        <v>37.5</v>
      </c>
      <c r="AV45" s="1">
        <v>37.5</v>
      </c>
      <c r="AW45" s="1">
        <v>37.5</v>
      </c>
      <c r="AX45" s="1">
        <v>37.5</v>
      </c>
      <c r="AY45" s="1">
        <v>37.5</v>
      </c>
      <c r="AZ45" s="1">
        <v>37.5</v>
      </c>
      <c r="BA45" s="1">
        <v>37.5</v>
      </c>
      <c r="BB45" s="1">
        <v>37.5</v>
      </c>
      <c r="BC45" s="1">
        <v>37.5</v>
      </c>
      <c r="BD45" s="1">
        <v>37.5</v>
      </c>
      <c r="BE45" s="1">
        <v>37.5</v>
      </c>
      <c r="BF45" s="1">
        <v>37.5</v>
      </c>
      <c r="BG45" s="1">
        <v>37.5</v>
      </c>
      <c r="BH45" s="2"/>
      <c r="BI45" s="2">
        <f t="shared" si="0"/>
        <v>787.5</v>
      </c>
      <c r="BJ45" s="2"/>
      <c r="BK45" s="2">
        <f t="shared" si="1"/>
        <v>357.3443089399305</v>
      </c>
      <c r="BL45" s="2"/>
      <c r="BM45" s="2"/>
      <c r="BN45" s="2"/>
      <c r="BO45" s="2">
        <f t="shared" si="2"/>
        <v>-787.5</v>
      </c>
      <c r="BP45" s="2"/>
      <c r="BQ45" s="2"/>
      <c r="BR45" s="2"/>
      <c r="BS45" s="2">
        <f t="shared" si="3"/>
        <v>787.5</v>
      </c>
      <c r="BT45" s="2"/>
      <c r="BU45" s="2"/>
    </row>
    <row r="46" spans="1:73" ht="15" customHeight="1" x14ac:dyDescent="0.2">
      <c r="A46" s="1">
        <v>2057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37.5</v>
      </c>
      <c r="AS46" s="1">
        <v>37.5</v>
      </c>
      <c r="AT46" s="1">
        <v>37.5</v>
      </c>
      <c r="AU46" s="1">
        <v>37.5</v>
      </c>
      <c r="AV46" s="1">
        <v>37.5</v>
      </c>
      <c r="AW46" s="1">
        <v>37.5</v>
      </c>
      <c r="AX46" s="1">
        <v>37.5</v>
      </c>
      <c r="AY46" s="1">
        <v>37.5</v>
      </c>
      <c r="AZ46" s="1">
        <v>37.5</v>
      </c>
      <c r="BA46" s="1">
        <v>37.5</v>
      </c>
      <c r="BB46" s="1">
        <v>37.5</v>
      </c>
      <c r="BC46" s="1">
        <v>37.5</v>
      </c>
      <c r="BD46" s="1">
        <v>37.5</v>
      </c>
      <c r="BE46" s="1">
        <v>37.5</v>
      </c>
      <c r="BF46" s="1">
        <v>37.5</v>
      </c>
      <c r="BG46" s="1">
        <v>37.5</v>
      </c>
      <c r="BH46" s="2"/>
      <c r="BI46" s="2">
        <f t="shared" si="0"/>
        <v>600</v>
      </c>
      <c r="BJ46" s="2"/>
      <c r="BK46" s="2">
        <f t="shared" si="1"/>
        <v>265.62178597160926</v>
      </c>
      <c r="BL46" s="2"/>
      <c r="BM46" s="2"/>
      <c r="BN46" s="2"/>
      <c r="BO46" s="2">
        <f t="shared" si="2"/>
        <v>-600</v>
      </c>
      <c r="BP46" s="2"/>
      <c r="BQ46" s="2"/>
      <c r="BR46" s="2"/>
      <c r="BS46" s="2">
        <f t="shared" si="3"/>
        <v>600</v>
      </c>
      <c r="BT46" s="2"/>
      <c r="BU46" s="2"/>
    </row>
    <row r="47" spans="1:73" ht="15" customHeight="1" x14ac:dyDescent="0.2">
      <c r="A47" s="1">
        <v>2058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37.5</v>
      </c>
      <c r="AW47" s="1">
        <v>37.5</v>
      </c>
      <c r="AX47" s="1">
        <v>37.5</v>
      </c>
      <c r="AY47" s="1">
        <v>37.5</v>
      </c>
      <c r="AZ47" s="1">
        <v>37.5</v>
      </c>
      <c r="BA47" s="1">
        <v>37.5</v>
      </c>
      <c r="BB47" s="1">
        <v>37.5</v>
      </c>
      <c r="BC47" s="1">
        <v>37.5</v>
      </c>
      <c r="BD47" s="1">
        <v>37.5</v>
      </c>
      <c r="BE47" s="1">
        <v>37.5</v>
      </c>
      <c r="BF47" s="1">
        <v>37.5</v>
      </c>
      <c r="BG47" s="1">
        <v>37.5</v>
      </c>
      <c r="BH47" s="2"/>
      <c r="BI47" s="2">
        <f t="shared" si="0"/>
        <v>450</v>
      </c>
      <c r="BJ47" s="2"/>
      <c r="BK47" s="2">
        <f t="shared" si="1"/>
        <v>194.35740436947017</v>
      </c>
      <c r="BL47" s="2"/>
      <c r="BM47" s="2"/>
      <c r="BN47" s="2"/>
      <c r="BO47" s="2">
        <f t="shared" si="2"/>
        <v>-450</v>
      </c>
      <c r="BP47" s="2"/>
      <c r="BQ47" s="2"/>
      <c r="BR47" s="2"/>
      <c r="BS47" s="2">
        <f t="shared" si="3"/>
        <v>450</v>
      </c>
      <c r="BT47" s="2"/>
      <c r="BU47" s="2"/>
    </row>
    <row r="48" spans="1:73" ht="15" customHeight="1" x14ac:dyDescent="0.2">
      <c r="A48" s="1">
        <v>2059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37.5</v>
      </c>
      <c r="AY48" s="1">
        <v>37.5</v>
      </c>
      <c r="AZ48" s="1">
        <v>37.5</v>
      </c>
      <c r="BA48" s="1">
        <v>37.5</v>
      </c>
      <c r="BB48" s="1">
        <v>37.5</v>
      </c>
      <c r="BC48" s="1">
        <v>37.5</v>
      </c>
      <c r="BD48" s="1">
        <v>37.5</v>
      </c>
      <c r="BE48" s="1">
        <v>37.5</v>
      </c>
      <c r="BF48" s="1">
        <v>37.5</v>
      </c>
      <c r="BG48" s="1">
        <v>37.5</v>
      </c>
      <c r="BH48" s="2"/>
      <c r="BI48" s="2">
        <f t="shared" si="0"/>
        <v>375</v>
      </c>
      <c r="BJ48" s="2"/>
      <c r="BK48" s="2">
        <f t="shared" si="1"/>
        <v>158.0141498938782</v>
      </c>
      <c r="BL48" s="2"/>
      <c r="BM48" s="2"/>
      <c r="BN48" s="2"/>
      <c r="BO48" s="2">
        <f t="shared" si="2"/>
        <v>-375</v>
      </c>
      <c r="BP48" s="2"/>
      <c r="BQ48" s="2"/>
      <c r="BR48" s="2"/>
      <c r="BS48" s="2">
        <f t="shared" si="3"/>
        <v>375</v>
      </c>
      <c r="BT48" s="2"/>
      <c r="BU48" s="2"/>
    </row>
    <row r="49" spans="1:73" ht="15" customHeight="1" x14ac:dyDescent="0.2">
      <c r="A49" s="1">
        <v>2060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37.5</v>
      </c>
      <c r="AY49" s="1">
        <v>37.5</v>
      </c>
      <c r="AZ49" s="1">
        <v>37.5</v>
      </c>
      <c r="BA49" s="1">
        <v>37.5</v>
      </c>
      <c r="BB49" s="1">
        <v>37.5</v>
      </c>
      <c r="BC49" s="1">
        <v>37.5</v>
      </c>
      <c r="BD49" s="1">
        <v>37.5</v>
      </c>
      <c r="BE49" s="1">
        <v>37.5</v>
      </c>
      <c r="BF49" s="1">
        <v>37.5</v>
      </c>
      <c r="BG49" s="1">
        <v>37.5</v>
      </c>
      <c r="BH49" s="2"/>
      <c r="BI49" s="2">
        <f t="shared" si="0"/>
        <v>375</v>
      </c>
      <c r="BJ49" s="2"/>
      <c r="BK49" s="2">
        <f t="shared" si="1"/>
        <v>154.16014623792995</v>
      </c>
      <c r="BL49" s="2"/>
      <c r="BM49" s="2"/>
      <c r="BN49" s="2"/>
      <c r="BO49" s="2">
        <f t="shared" si="2"/>
        <v>-375</v>
      </c>
      <c r="BP49" s="2"/>
      <c r="BQ49" s="2"/>
      <c r="BR49" s="2"/>
      <c r="BS49" s="2">
        <f t="shared" si="3"/>
        <v>375</v>
      </c>
      <c r="BT49" s="2"/>
      <c r="BU49" s="2"/>
    </row>
    <row r="50" spans="1:73" ht="15" customHeight="1" x14ac:dyDescent="0.2">
      <c r="A50" s="1">
        <v>2061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37.5</v>
      </c>
      <c r="BB50" s="1">
        <v>37.5</v>
      </c>
      <c r="BC50" s="1">
        <v>37.5</v>
      </c>
      <c r="BD50" s="1">
        <v>37.5</v>
      </c>
      <c r="BE50" s="1">
        <v>37.5</v>
      </c>
      <c r="BF50" s="1">
        <v>37.5</v>
      </c>
      <c r="BG50" s="1">
        <v>37.5</v>
      </c>
      <c r="BH50" s="2"/>
      <c r="BI50" s="2">
        <f t="shared" si="0"/>
        <v>262.5</v>
      </c>
      <c r="BJ50" s="2"/>
      <c r="BK50" s="2">
        <f t="shared" si="1"/>
        <v>105.28009986980582</v>
      </c>
      <c r="BL50" s="2"/>
      <c r="BM50" s="2"/>
      <c r="BN50" s="2"/>
      <c r="BO50" s="2">
        <f t="shared" si="2"/>
        <v>-262.5</v>
      </c>
      <c r="BP50" s="2"/>
      <c r="BQ50" s="2"/>
      <c r="BR50" s="2"/>
      <c r="BS50" s="2">
        <f t="shared" si="3"/>
        <v>262.5</v>
      </c>
      <c r="BT50" s="2"/>
      <c r="BU50" s="2"/>
    </row>
    <row r="51" spans="1:73" ht="15" customHeight="1" x14ac:dyDescent="0.2">
      <c r="A51" s="1">
        <v>2062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37.5</v>
      </c>
      <c r="BC51" s="1">
        <v>37.5</v>
      </c>
      <c r="BD51" s="1">
        <v>37.5</v>
      </c>
      <c r="BE51" s="1">
        <v>37.5</v>
      </c>
      <c r="BF51" s="1">
        <v>37.5</v>
      </c>
      <c r="BG51" s="1">
        <v>37.5</v>
      </c>
      <c r="BH51" s="2"/>
      <c r="BI51" s="2">
        <f t="shared" si="0"/>
        <v>225</v>
      </c>
      <c r="BJ51" s="2"/>
      <c r="BK51" s="2">
        <f t="shared" si="1"/>
        <v>88.039107905064128</v>
      </c>
      <c r="BL51" s="2"/>
      <c r="BM51" s="2"/>
      <c r="BN51" s="2"/>
      <c r="BO51" s="2">
        <f t="shared" si="2"/>
        <v>-225</v>
      </c>
      <c r="BP51" s="2"/>
      <c r="BQ51" s="2"/>
      <c r="BR51" s="2"/>
      <c r="BS51" s="2">
        <f t="shared" si="3"/>
        <v>225</v>
      </c>
      <c r="BT51" s="2"/>
      <c r="BU51" s="2"/>
    </row>
    <row r="52" spans="1:73" ht="15" customHeight="1" x14ac:dyDescent="0.2">
      <c r="A52" s="1">
        <v>2063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37.5</v>
      </c>
      <c r="BD52" s="1">
        <v>37.5</v>
      </c>
      <c r="BE52" s="1">
        <v>37.5</v>
      </c>
      <c r="BF52" s="1">
        <v>37.5</v>
      </c>
      <c r="BG52" s="1">
        <v>37.5</v>
      </c>
      <c r="BH52" s="2"/>
      <c r="BI52" s="2">
        <f t="shared" si="0"/>
        <v>187.5</v>
      </c>
      <c r="BJ52" s="2"/>
      <c r="BK52" s="2">
        <f t="shared" si="1"/>
        <v>71.576510491922051</v>
      </c>
      <c r="BL52" s="2"/>
      <c r="BM52" s="2"/>
      <c r="BN52" s="2"/>
      <c r="BO52" s="2">
        <f t="shared" si="2"/>
        <v>-187.5</v>
      </c>
      <c r="BP52" s="2"/>
      <c r="BQ52" s="2"/>
      <c r="BR52" s="2"/>
      <c r="BS52" s="2">
        <f t="shared" si="3"/>
        <v>187.5</v>
      </c>
      <c r="BT52" s="2"/>
      <c r="BU52" s="2"/>
    </row>
    <row r="53" spans="1:73" ht="15" customHeight="1" x14ac:dyDescent="0.2">
      <c r="A53" s="1">
        <v>2064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37.5</v>
      </c>
      <c r="BE53" s="1">
        <v>37.5</v>
      </c>
      <c r="BF53" s="1">
        <v>37.5</v>
      </c>
      <c r="BG53" s="1">
        <v>37.5</v>
      </c>
      <c r="BH53" s="2"/>
      <c r="BI53" s="2">
        <f t="shared" si="0"/>
        <v>150</v>
      </c>
      <c r="BJ53" s="2"/>
      <c r="BK53" s="2">
        <f t="shared" si="1"/>
        <v>55.864593554670876</v>
      </c>
      <c r="BL53" s="2"/>
      <c r="BM53" s="2"/>
      <c r="BN53" s="2"/>
      <c r="BO53" s="2">
        <f t="shared" si="2"/>
        <v>-150</v>
      </c>
      <c r="BP53" s="2"/>
      <c r="BQ53" s="2"/>
      <c r="BR53" s="2"/>
      <c r="BS53" s="2">
        <f t="shared" si="3"/>
        <v>150</v>
      </c>
      <c r="BT53" s="2"/>
      <c r="BU53" s="2"/>
    </row>
    <row r="54" spans="1:73" ht="15" customHeight="1" x14ac:dyDescent="0.2">
      <c r="A54" s="1">
        <v>2065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37.5</v>
      </c>
      <c r="BE54" s="1">
        <v>37.5</v>
      </c>
      <c r="BF54" s="1">
        <v>37.5</v>
      </c>
      <c r="BG54" s="1">
        <v>37.5</v>
      </c>
      <c r="BH54" s="2"/>
      <c r="BI54" s="2">
        <f t="shared" si="0"/>
        <v>150</v>
      </c>
      <c r="BJ54" s="2"/>
      <c r="BK54" s="2">
        <f t="shared" si="1"/>
        <v>54.502042492361831</v>
      </c>
      <c r="BL54" s="2"/>
      <c r="BM54" s="2"/>
      <c r="BN54" s="2"/>
      <c r="BO54" s="2">
        <f t="shared" si="2"/>
        <v>-150</v>
      </c>
      <c r="BP54" s="2"/>
      <c r="BQ54" s="2"/>
      <c r="BR54" s="2"/>
      <c r="BS54" s="2">
        <f t="shared" si="3"/>
        <v>150</v>
      </c>
      <c r="BT54" s="2"/>
      <c r="BU54" s="2"/>
    </row>
    <row r="55" spans="1:73" ht="15" customHeight="1" x14ac:dyDescent="0.2">
      <c r="A55" s="1">
        <v>2066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37.5</v>
      </c>
      <c r="BE55" s="1">
        <v>37.5</v>
      </c>
      <c r="BF55" s="1">
        <v>37.5</v>
      </c>
      <c r="BG55" s="1">
        <v>37.5</v>
      </c>
      <c r="BH55" s="2"/>
      <c r="BI55" s="2">
        <f t="shared" si="0"/>
        <v>150</v>
      </c>
      <c r="BJ55" s="2"/>
      <c r="BK55" s="2">
        <f t="shared" si="1"/>
        <v>53.172724382792033</v>
      </c>
      <c r="BL55" s="2"/>
      <c r="BM55" s="2"/>
      <c r="BN55" s="2"/>
      <c r="BO55" s="2">
        <f t="shared" si="2"/>
        <v>-150</v>
      </c>
      <c r="BP55" s="2"/>
      <c r="BQ55" s="2"/>
      <c r="BR55" s="2"/>
      <c r="BS55" s="2">
        <f t="shared" si="3"/>
        <v>150</v>
      </c>
      <c r="BT55" s="2"/>
      <c r="BU55" s="2"/>
    </row>
    <row r="56" spans="1:73" ht="15" customHeight="1" x14ac:dyDescent="0.2">
      <c r="A56" s="1">
        <v>2067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37.5</v>
      </c>
      <c r="BF56" s="1">
        <v>37.5</v>
      </c>
      <c r="BG56" s="1">
        <v>37.5</v>
      </c>
      <c r="BH56" s="2"/>
      <c r="BI56" s="2">
        <f t="shared" si="0"/>
        <v>112.5</v>
      </c>
      <c r="BJ56" s="2"/>
      <c r="BK56" s="2">
        <f t="shared" si="1"/>
        <v>38.906871499603923</v>
      </c>
      <c r="BL56" s="2"/>
      <c r="BM56" s="2"/>
      <c r="BN56" s="2"/>
      <c r="BO56" s="2">
        <f t="shared" si="2"/>
        <v>-112.5</v>
      </c>
      <c r="BP56" s="2"/>
      <c r="BQ56" s="2"/>
      <c r="BR56" s="2"/>
      <c r="BS56" s="2">
        <f t="shared" si="3"/>
        <v>112.5</v>
      </c>
      <c r="BT56" s="2"/>
      <c r="BU56" s="2"/>
    </row>
    <row r="57" spans="1:73" ht="15" customHeight="1" x14ac:dyDescent="0.2">
      <c r="A57" s="1">
        <v>2068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37.5</v>
      </c>
      <c r="BH57" s="2"/>
      <c r="BI57" s="2">
        <f t="shared" si="0"/>
        <v>37.5</v>
      </c>
      <c r="BJ57" s="2"/>
      <c r="BK57" s="2">
        <f t="shared" si="1"/>
        <v>12.652641138082579</v>
      </c>
      <c r="BL57" s="2"/>
      <c r="BM57" s="2"/>
      <c r="BN57" s="2"/>
      <c r="BO57" s="2">
        <f t="shared" si="2"/>
        <v>-37.5</v>
      </c>
      <c r="BP57" s="2"/>
      <c r="BQ57" s="2"/>
      <c r="BR57" s="2"/>
      <c r="BS57" s="2">
        <f t="shared" si="3"/>
        <v>37.5</v>
      </c>
      <c r="BT57" s="2"/>
      <c r="BU57" s="2"/>
    </row>
    <row r="58" spans="1:73" ht="15" customHeight="1" x14ac:dyDescent="0.2">
      <c r="A58" s="1">
        <v>2069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37.5</v>
      </c>
      <c r="BH58" s="2"/>
      <c r="BI58" s="2">
        <f t="shared" si="0"/>
        <v>37.5</v>
      </c>
      <c r="BJ58" s="2"/>
      <c r="BK58" s="2">
        <f t="shared" si="1"/>
        <v>12.34404013471471</v>
      </c>
      <c r="BL58" s="2"/>
      <c r="BM58" s="2"/>
      <c r="BN58" s="2"/>
      <c r="BO58" s="2">
        <f t="shared" si="2"/>
        <v>-37.5</v>
      </c>
      <c r="BP58" s="2"/>
      <c r="BQ58" s="2"/>
      <c r="BR58" s="2"/>
      <c r="BS58" s="2">
        <f t="shared" si="3"/>
        <v>37.5</v>
      </c>
      <c r="BT58" s="2"/>
      <c r="BU58" s="2"/>
    </row>
    <row r="59" spans="1:73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</row>
    <row r="60" spans="1:73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</row>
    <row r="61" spans="1:73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</row>
    <row r="62" spans="1:73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</row>
    <row r="63" spans="1:73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</row>
    <row r="64" spans="1:73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</row>
    <row r="65" spans="1:73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</row>
    <row r="66" spans="1:73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</row>
    <row r="67" spans="1:73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</row>
    <row r="68" spans="1:73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</row>
    <row r="69" spans="1:73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</row>
    <row r="70" spans="1:73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</row>
    <row r="71" spans="1:73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</row>
    <row r="72" spans="1:73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</row>
    <row r="73" spans="1:73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</row>
    <row r="74" spans="1:73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</row>
    <row r="75" spans="1:73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</row>
    <row r="76" spans="1:73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</row>
    <row r="77" spans="1:73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</row>
    <row r="78" spans="1:73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</row>
    <row r="79" spans="1:73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</row>
    <row r="80" spans="1:73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</row>
    <row r="81" spans="1:73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</row>
    <row r="82" spans="1:73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</row>
    <row r="83" spans="1:73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</row>
    <row r="84" spans="1:73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</row>
    <row r="85" spans="1:73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</row>
    <row r="86" spans="1:73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</row>
    <row r="87" spans="1:73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</row>
    <row r="88" spans="1:73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</row>
    <row r="89" spans="1:73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</row>
    <row r="90" spans="1:73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</row>
    <row r="91" spans="1:73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</row>
    <row r="92" spans="1:73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</row>
    <row r="93" spans="1:73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</row>
    <row r="94" spans="1:73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</row>
    <row r="95" spans="1:73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</row>
    <row r="96" spans="1:73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</row>
    <row r="97" spans="1:73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</row>
    <row r="98" spans="1:73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</row>
    <row r="99" spans="1:73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</row>
    <row r="100" spans="1:73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</row>
    <row r="101" spans="1:73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</row>
    <row r="102" spans="1:73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</row>
    <row r="103" spans="1:73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</row>
    <row r="104" spans="1:73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</row>
    <row r="105" spans="1:73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</row>
    <row r="106" spans="1:73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</row>
    <row r="107" spans="1:73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</row>
    <row r="108" spans="1:73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</row>
    <row r="109" spans="1:73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</row>
    <row r="110" spans="1:73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</row>
    <row r="111" spans="1:73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</row>
    <row r="112" spans="1:73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</row>
    <row r="113" spans="1:73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</row>
    <row r="114" spans="1:73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</row>
    <row r="115" spans="1:73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</row>
    <row r="116" spans="1:73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</row>
    <row r="117" spans="1:73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</row>
    <row r="118" spans="1:73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</row>
    <row r="119" spans="1:73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</row>
    <row r="120" spans="1:73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</row>
    <row r="121" spans="1:73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</row>
    <row r="122" spans="1:73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</row>
    <row r="123" spans="1:73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</row>
    <row r="124" spans="1:73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</row>
    <row r="125" spans="1:73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</row>
    <row r="126" spans="1:73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</row>
    <row r="127" spans="1:73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</row>
    <row r="128" spans="1:73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</row>
    <row r="129" spans="1:73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</row>
    <row r="130" spans="1:73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</row>
    <row r="131" spans="1:73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</row>
    <row r="132" spans="1:73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</row>
    <row r="133" spans="1:73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</row>
    <row r="134" spans="1:73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</row>
    <row r="135" spans="1:73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</row>
    <row r="136" spans="1:73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</row>
    <row r="137" spans="1:73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</row>
    <row r="138" spans="1:73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</row>
    <row r="139" spans="1:73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</row>
    <row r="140" spans="1:73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</row>
    <row r="141" spans="1:73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</row>
    <row r="142" spans="1:73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</row>
    <row r="143" spans="1:73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</row>
    <row r="144" spans="1:73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</row>
    <row r="145" spans="1:73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</row>
    <row r="146" spans="1:73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</row>
    <row r="147" spans="1:73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</row>
    <row r="148" spans="1:73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</row>
    <row r="149" spans="1:73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</row>
    <row r="150" spans="1:73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</row>
    <row r="151" spans="1:73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</row>
    <row r="152" spans="1:73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</row>
    <row r="153" spans="1:73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</row>
    <row r="154" spans="1:73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</row>
    <row r="155" spans="1:73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</row>
    <row r="156" spans="1:73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</row>
    <row r="157" spans="1:73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</row>
    <row r="158" spans="1:73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</row>
    <row r="159" spans="1:73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</row>
    <row r="160" spans="1:73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</row>
    <row r="161" spans="1:73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</row>
    <row r="162" spans="1:73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</row>
    <row r="163" spans="1:73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</row>
    <row r="164" spans="1:73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</row>
    <row r="165" spans="1:73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</row>
    <row r="166" spans="1:73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</row>
    <row r="167" spans="1:73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</row>
    <row r="168" spans="1:73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</row>
    <row r="169" spans="1:73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</row>
    <row r="170" spans="1:73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</row>
    <row r="171" spans="1:73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</row>
    <row r="172" spans="1:73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</row>
    <row r="173" spans="1:73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</row>
    <row r="174" spans="1:73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</row>
    <row r="175" spans="1:73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</row>
    <row r="176" spans="1:73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</row>
    <row r="177" spans="1:73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</row>
    <row r="178" spans="1:73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</row>
    <row r="179" spans="1:73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</row>
    <row r="180" spans="1:73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</row>
    <row r="181" spans="1:73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</row>
    <row r="182" spans="1:73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</row>
    <row r="183" spans="1:73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</row>
    <row r="184" spans="1:73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</row>
    <row r="185" spans="1:73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</row>
    <row r="186" spans="1:73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</row>
    <row r="187" spans="1:73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</row>
    <row r="188" spans="1:73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</row>
    <row r="189" spans="1:73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</row>
    <row r="190" spans="1:73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</row>
    <row r="191" spans="1:73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</row>
    <row r="192" spans="1:73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</row>
    <row r="193" spans="1:73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</row>
    <row r="194" spans="1:73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</row>
    <row r="195" spans="1:73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</row>
    <row r="196" spans="1:73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</row>
    <row r="197" spans="1:73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</row>
    <row r="198" spans="1:73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</row>
    <row r="199" spans="1:73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</row>
    <row r="200" spans="1:73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</row>
    <row r="201" spans="1:73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</row>
    <row r="202" spans="1:73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</row>
    <row r="203" spans="1:73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</row>
    <row r="204" spans="1:73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</row>
    <row r="205" spans="1:73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</row>
    <row r="206" spans="1:73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</row>
    <row r="207" spans="1:73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</row>
    <row r="208" spans="1:73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</row>
    <row r="209" spans="1:73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</row>
    <row r="210" spans="1:73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</row>
    <row r="211" spans="1:73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</row>
    <row r="212" spans="1:73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</row>
    <row r="213" spans="1:73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</row>
    <row r="214" spans="1:73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</row>
    <row r="215" spans="1:73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</row>
    <row r="216" spans="1:73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</row>
    <row r="217" spans="1:73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</row>
    <row r="218" spans="1:73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</row>
    <row r="219" spans="1:73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</row>
    <row r="220" spans="1:73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</row>
    <row r="221" spans="1:73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</row>
    <row r="222" spans="1:73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</row>
    <row r="223" spans="1:73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</row>
    <row r="224" spans="1:73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</row>
    <row r="225" spans="1:73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</row>
    <row r="226" spans="1:73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</row>
    <row r="227" spans="1:73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</row>
    <row r="228" spans="1:73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</row>
    <row r="229" spans="1:73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</row>
    <row r="230" spans="1:73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</row>
    <row r="231" spans="1:73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</row>
    <row r="232" spans="1:73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</row>
    <row r="233" spans="1:73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</row>
    <row r="234" spans="1:73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</row>
    <row r="235" spans="1:73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</row>
    <row r="236" spans="1:73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</row>
    <row r="237" spans="1:73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</row>
    <row r="238" spans="1:73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</row>
    <row r="239" spans="1:73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</row>
    <row r="240" spans="1:73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</row>
    <row r="241" spans="1:73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</row>
    <row r="242" spans="1:73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</row>
    <row r="243" spans="1:73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</row>
    <row r="244" spans="1:73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</row>
    <row r="245" spans="1:73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</row>
    <row r="246" spans="1:73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</row>
    <row r="247" spans="1:73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</row>
    <row r="248" spans="1:73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</row>
    <row r="249" spans="1:73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</row>
    <row r="250" spans="1:73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</row>
    <row r="251" spans="1:73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</row>
    <row r="252" spans="1:73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</row>
    <row r="253" spans="1:73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</row>
    <row r="254" spans="1:73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</row>
    <row r="255" spans="1:73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</row>
    <row r="256" spans="1:73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</row>
    <row r="257" spans="1:73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</row>
    <row r="258" spans="1:73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</row>
    <row r="259" spans="1:73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</row>
    <row r="260" spans="1:73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</row>
    <row r="261" spans="1:73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</row>
    <row r="262" spans="1:73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</row>
    <row r="263" spans="1:73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</row>
    <row r="264" spans="1:73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</row>
    <row r="265" spans="1:73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</row>
    <row r="266" spans="1:73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</row>
    <row r="267" spans="1:73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</row>
    <row r="268" spans="1:73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</row>
    <row r="269" spans="1:73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</row>
    <row r="270" spans="1:73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</row>
    <row r="271" spans="1:73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</row>
    <row r="272" spans="1:73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</row>
    <row r="273" spans="1:73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</row>
    <row r="274" spans="1:73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</row>
    <row r="275" spans="1:73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</row>
    <row r="276" spans="1:73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</row>
    <row r="277" spans="1:73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</row>
    <row r="278" spans="1:73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</row>
    <row r="279" spans="1:73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</row>
    <row r="280" spans="1:73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</row>
    <row r="281" spans="1:73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</row>
    <row r="282" spans="1:73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</row>
    <row r="283" spans="1:73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</row>
    <row r="284" spans="1:73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</row>
    <row r="285" spans="1:73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</row>
    <row r="286" spans="1:73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</row>
    <row r="287" spans="1:73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</row>
    <row r="288" spans="1:73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</row>
    <row r="289" spans="1:73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</row>
    <row r="290" spans="1:73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</row>
    <row r="291" spans="1:73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</row>
    <row r="292" spans="1:73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</row>
    <row r="293" spans="1:73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</row>
    <row r="294" spans="1:73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</row>
    <row r="295" spans="1:73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</row>
    <row r="296" spans="1:73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</row>
    <row r="297" spans="1:73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</row>
    <row r="298" spans="1:73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</row>
    <row r="299" spans="1:73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</row>
    <row r="300" spans="1:73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</row>
    <row r="301" spans="1:73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</row>
    <row r="302" spans="1:73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</row>
    <row r="303" spans="1:73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</row>
    <row r="304" spans="1:73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</row>
    <row r="305" spans="1:73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</row>
    <row r="306" spans="1:73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</row>
    <row r="307" spans="1:73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</row>
    <row r="308" spans="1:73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</row>
    <row r="309" spans="1:73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</row>
    <row r="310" spans="1:73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</row>
    <row r="311" spans="1:73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</row>
    <row r="312" spans="1:73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</row>
    <row r="313" spans="1:73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</row>
    <row r="314" spans="1:73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</row>
    <row r="315" spans="1:73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</row>
    <row r="316" spans="1:73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</row>
    <row r="317" spans="1:73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</row>
    <row r="318" spans="1:73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</row>
    <row r="319" spans="1:73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</row>
    <row r="320" spans="1:73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</row>
    <row r="321" spans="1:73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</row>
    <row r="322" spans="1:73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</row>
    <row r="323" spans="1:73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</row>
    <row r="324" spans="1:73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</row>
    <row r="325" spans="1:73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</row>
    <row r="326" spans="1:73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</row>
    <row r="327" spans="1:73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</row>
    <row r="328" spans="1:73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</row>
    <row r="329" spans="1:73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</row>
    <row r="330" spans="1:73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</row>
    <row r="331" spans="1:73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</row>
    <row r="332" spans="1:73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</row>
    <row r="333" spans="1:73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</row>
    <row r="334" spans="1:73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</row>
    <row r="335" spans="1:73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</row>
    <row r="336" spans="1:73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</row>
    <row r="337" spans="1:73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</row>
    <row r="338" spans="1:73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</row>
    <row r="339" spans="1:73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</row>
    <row r="340" spans="1:73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</row>
    <row r="341" spans="1:73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</row>
    <row r="342" spans="1:73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</row>
    <row r="343" spans="1:73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</row>
    <row r="344" spans="1:73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</row>
    <row r="345" spans="1:73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</row>
    <row r="346" spans="1:73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</row>
    <row r="347" spans="1:73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</row>
    <row r="348" spans="1:73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</row>
    <row r="349" spans="1:73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</row>
    <row r="350" spans="1:73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</row>
    <row r="351" spans="1:73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</row>
    <row r="352" spans="1:73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</row>
    <row r="353" spans="1:73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</row>
    <row r="354" spans="1:73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</row>
    <row r="355" spans="1:73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</row>
    <row r="356" spans="1:73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</row>
    <row r="357" spans="1:73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</row>
    <row r="358" spans="1:73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</row>
    <row r="359" spans="1:73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</row>
    <row r="360" spans="1:73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</row>
    <row r="361" spans="1:73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</row>
    <row r="362" spans="1:73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</row>
    <row r="363" spans="1:73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</row>
    <row r="364" spans="1:73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</row>
    <row r="365" spans="1:73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</row>
    <row r="366" spans="1:73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</row>
    <row r="367" spans="1:73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</row>
    <row r="368" spans="1:73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</row>
    <row r="369" spans="1:73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</row>
    <row r="370" spans="1:73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</row>
    <row r="371" spans="1:73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</row>
    <row r="372" spans="1:73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</row>
    <row r="373" spans="1:73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</row>
    <row r="374" spans="1:73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</row>
    <row r="375" spans="1:73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</row>
    <row r="376" spans="1:73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</row>
    <row r="377" spans="1:73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</row>
    <row r="378" spans="1:73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</row>
    <row r="379" spans="1:73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</row>
    <row r="380" spans="1:73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</row>
    <row r="381" spans="1:73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</row>
    <row r="382" spans="1:73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</row>
    <row r="383" spans="1:73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</row>
    <row r="384" spans="1:73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</row>
    <row r="385" spans="1:73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</row>
    <row r="386" spans="1:73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</row>
    <row r="387" spans="1:73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</row>
    <row r="388" spans="1:73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</row>
    <row r="389" spans="1:73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</row>
    <row r="390" spans="1:73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</row>
    <row r="391" spans="1:73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</row>
    <row r="392" spans="1:73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</row>
    <row r="393" spans="1:73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</row>
    <row r="394" spans="1:73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</row>
    <row r="395" spans="1:73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</row>
    <row r="396" spans="1:73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</row>
    <row r="397" spans="1:73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</row>
    <row r="398" spans="1:73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</row>
    <row r="399" spans="1:73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</row>
    <row r="400" spans="1:73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</row>
    <row r="401" spans="1:73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</row>
    <row r="402" spans="1:73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</row>
    <row r="403" spans="1:73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</row>
    <row r="404" spans="1:73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</row>
    <row r="405" spans="1:73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</row>
    <row r="406" spans="1:73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</row>
    <row r="407" spans="1:73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</row>
    <row r="408" spans="1:73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</row>
    <row r="409" spans="1:73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</row>
    <row r="410" spans="1:73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</row>
    <row r="411" spans="1:73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</row>
    <row r="412" spans="1:73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</row>
    <row r="413" spans="1:73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</row>
    <row r="414" spans="1:73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</row>
    <row r="415" spans="1:73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</row>
    <row r="416" spans="1:73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</row>
    <row r="417" spans="1:73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</row>
    <row r="418" spans="1:73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</row>
    <row r="419" spans="1:73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</row>
    <row r="420" spans="1:73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</row>
    <row r="421" spans="1:73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</row>
    <row r="422" spans="1:73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</row>
    <row r="423" spans="1:73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</row>
    <row r="424" spans="1:73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</row>
    <row r="425" spans="1:73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</row>
    <row r="426" spans="1:73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</row>
    <row r="427" spans="1:73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</row>
    <row r="428" spans="1:73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</row>
    <row r="429" spans="1:73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</row>
    <row r="430" spans="1:73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</row>
    <row r="431" spans="1:73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</row>
    <row r="432" spans="1:73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</row>
    <row r="433" spans="1:73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</row>
    <row r="434" spans="1:73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</row>
    <row r="435" spans="1:73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</row>
    <row r="436" spans="1:73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</row>
    <row r="437" spans="1:73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</row>
    <row r="438" spans="1:73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</row>
    <row r="439" spans="1:73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</row>
    <row r="440" spans="1:73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</row>
    <row r="441" spans="1:73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</row>
    <row r="442" spans="1:73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</row>
    <row r="443" spans="1:73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</row>
    <row r="444" spans="1:73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</row>
    <row r="445" spans="1:73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</row>
    <row r="446" spans="1:73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</row>
    <row r="447" spans="1:73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</row>
    <row r="448" spans="1:73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</row>
    <row r="449" spans="1:73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</row>
    <row r="450" spans="1:73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</row>
    <row r="451" spans="1:73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</row>
    <row r="452" spans="1:73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</row>
    <row r="453" spans="1:73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</row>
    <row r="454" spans="1:73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</row>
    <row r="455" spans="1:73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</row>
    <row r="456" spans="1:73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</row>
    <row r="457" spans="1:73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</row>
    <row r="458" spans="1:73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</row>
    <row r="459" spans="1:73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</row>
    <row r="460" spans="1:73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</row>
    <row r="461" spans="1:73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</row>
    <row r="462" spans="1:73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</row>
    <row r="463" spans="1:73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</row>
    <row r="464" spans="1:73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</row>
    <row r="465" spans="1:73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</row>
    <row r="466" spans="1:73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</row>
    <row r="467" spans="1:73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</row>
    <row r="468" spans="1:73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</row>
    <row r="469" spans="1:73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</row>
    <row r="470" spans="1:73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</row>
    <row r="471" spans="1:73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</row>
    <row r="472" spans="1:73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</row>
    <row r="473" spans="1:73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</row>
    <row r="474" spans="1:73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</row>
    <row r="475" spans="1:73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</row>
    <row r="476" spans="1:73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</row>
    <row r="477" spans="1:73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</row>
    <row r="478" spans="1:73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</row>
    <row r="479" spans="1:73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</row>
    <row r="480" spans="1:73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</row>
    <row r="481" spans="1:73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</row>
    <row r="482" spans="1:73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</row>
    <row r="483" spans="1:73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</row>
    <row r="484" spans="1:73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</row>
    <row r="485" spans="1:73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</row>
    <row r="486" spans="1:73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</row>
    <row r="487" spans="1:73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</row>
    <row r="488" spans="1:73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</row>
    <row r="489" spans="1:73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</row>
    <row r="490" spans="1:73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</row>
    <row r="491" spans="1:73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</row>
    <row r="492" spans="1:73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</row>
    <row r="493" spans="1:73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</row>
    <row r="494" spans="1:73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</row>
    <row r="495" spans="1:73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</row>
    <row r="496" spans="1:73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</row>
    <row r="497" spans="1:73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</row>
    <row r="498" spans="1:73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</row>
    <row r="499" spans="1:73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</row>
    <row r="500" spans="1:73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</row>
    <row r="501" spans="1:73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</row>
    <row r="502" spans="1:73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</row>
    <row r="503" spans="1:73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</row>
    <row r="504" spans="1:73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</row>
    <row r="505" spans="1:73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</row>
    <row r="506" spans="1:73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</row>
    <row r="507" spans="1:73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</row>
    <row r="508" spans="1:73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</row>
    <row r="509" spans="1:73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</row>
    <row r="510" spans="1:73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</row>
    <row r="511" spans="1:73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</row>
    <row r="512" spans="1:73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</row>
    <row r="513" spans="1:73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</row>
    <row r="514" spans="1:73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</row>
    <row r="515" spans="1:73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</row>
    <row r="516" spans="1:73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</row>
    <row r="517" spans="1:73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</row>
    <row r="518" spans="1:73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</row>
    <row r="519" spans="1:73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</row>
    <row r="520" spans="1:73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</row>
    <row r="521" spans="1:73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</row>
    <row r="522" spans="1:73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</row>
    <row r="523" spans="1:73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</row>
    <row r="524" spans="1:73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</row>
    <row r="525" spans="1:73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</row>
    <row r="526" spans="1:73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</row>
    <row r="527" spans="1:73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</row>
    <row r="528" spans="1:73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</row>
    <row r="529" spans="1:73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</row>
    <row r="530" spans="1:73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</row>
    <row r="531" spans="1:73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</row>
    <row r="532" spans="1:73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</row>
    <row r="533" spans="1:73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</row>
    <row r="534" spans="1:73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</row>
    <row r="535" spans="1:73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</row>
    <row r="536" spans="1:73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</row>
    <row r="537" spans="1:73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</row>
    <row r="538" spans="1:73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</row>
    <row r="539" spans="1:73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</row>
    <row r="540" spans="1:73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</row>
    <row r="541" spans="1:73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</row>
    <row r="542" spans="1:73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</row>
    <row r="543" spans="1:73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</row>
    <row r="544" spans="1:73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</row>
    <row r="545" spans="1:73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</row>
    <row r="546" spans="1:73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</row>
    <row r="547" spans="1:73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</row>
    <row r="548" spans="1:73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</row>
    <row r="549" spans="1:73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</row>
    <row r="550" spans="1:73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</row>
    <row r="551" spans="1:73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</row>
    <row r="552" spans="1:73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</row>
    <row r="553" spans="1:73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</row>
    <row r="554" spans="1:73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</row>
    <row r="555" spans="1:73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</row>
    <row r="556" spans="1:73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</row>
    <row r="557" spans="1:73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</row>
    <row r="558" spans="1:73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</row>
    <row r="559" spans="1:73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</row>
    <row r="560" spans="1:73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</row>
    <row r="561" spans="1:73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</row>
    <row r="562" spans="1:73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</row>
    <row r="563" spans="1:73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</row>
    <row r="564" spans="1:73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</row>
    <row r="565" spans="1:73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</row>
    <row r="566" spans="1:73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</row>
    <row r="567" spans="1:73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</row>
    <row r="568" spans="1:73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</row>
    <row r="569" spans="1:73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</row>
    <row r="570" spans="1:73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</row>
    <row r="571" spans="1:73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</row>
    <row r="572" spans="1:73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</row>
    <row r="573" spans="1:73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</row>
    <row r="574" spans="1:73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</row>
    <row r="575" spans="1:73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</row>
    <row r="576" spans="1:73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</row>
    <row r="577" spans="1:73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</row>
    <row r="578" spans="1:73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</row>
    <row r="579" spans="1:73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</row>
    <row r="580" spans="1:73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</row>
    <row r="581" spans="1:73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</row>
    <row r="582" spans="1:73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</row>
    <row r="583" spans="1:73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</row>
    <row r="584" spans="1:73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</row>
    <row r="585" spans="1:73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</row>
    <row r="586" spans="1:73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</row>
    <row r="587" spans="1:73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</row>
    <row r="588" spans="1:73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</row>
    <row r="589" spans="1:73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</row>
    <row r="590" spans="1:73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</row>
    <row r="591" spans="1:73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</row>
    <row r="592" spans="1:73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</row>
    <row r="593" spans="1:73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</row>
    <row r="594" spans="1:73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</row>
    <row r="595" spans="1:73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</row>
    <row r="596" spans="1:73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</row>
    <row r="597" spans="1:73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</row>
    <row r="598" spans="1:73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</row>
    <row r="599" spans="1:73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</row>
    <row r="600" spans="1:73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</row>
    <row r="601" spans="1:73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</row>
    <row r="602" spans="1:73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</row>
    <row r="603" spans="1:73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</row>
    <row r="604" spans="1:73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</row>
    <row r="605" spans="1:73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</row>
    <row r="606" spans="1:73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</row>
    <row r="607" spans="1:73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</row>
    <row r="608" spans="1:73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</row>
    <row r="609" spans="1:73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</row>
    <row r="610" spans="1:73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</row>
    <row r="611" spans="1:73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</row>
    <row r="612" spans="1:73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</row>
    <row r="613" spans="1:73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</row>
    <row r="614" spans="1:73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</row>
    <row r="615" spans="1:73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</row>
    <row r="616" spans="1:73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1:73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</row>
    <row r="618" spans="1:73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</row>
    <row r="619" spans="1:73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</row>
    <row r="620" spans="1:73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</row>
    <row r="621" spans="1:73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</row>
    <row r="622" spans="1:73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</row>
    <row r="623" spans="1:73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</row>
    <row r="624" spans="1:73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</row>
    <row r="625" spans="1:73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1:73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1:73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1:73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1:73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1:73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1:73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1:73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1:73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1:73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1:73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1:73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1:73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1:73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1:73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1:73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1:73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1:73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1:73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1:73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1:73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1:73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1:73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1:73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1:73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1:73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1:73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  <row r="778" spans="1:73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</row>
    <row r="779" spans="1:73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</row>
    <row r="780" spans="1:73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</row>
    <row r="781" spans="1:73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</row>
    <row r="782" spans="1:73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</row>
    <row r="783" spans="1:73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</row>
    <row r="784" spans="1:73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</row>
    <row r="785" spans="1:73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</row>
    <row r="786" spans="1:73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</row>
    <row r="787" spans="1:73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</row>
    <row r="788" spans="1:73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</row>
    <row r="789" spans="1:73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</row>
    <row r="790" spans="1:73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</row>
    <row r="791" spans="1:73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</row>
    <row r="792" spans="1:73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</row>
    <row r="793" spans="1:73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</row>
    <row r="794" spans="1:73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</row>
    <row r="795" spans="1:73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</row>
    <row r="796" spans="1:73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</row>
    <row r="797" spans="1:73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</row>
    <row r="798" spans="1:73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</row>
    <row r="799" spans="1:73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</row>
    <row r="800" spans="1:73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</row>
    <row r="801" spans="1:73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</row>
    <row r="802" spans="1:73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</row>
    <row r="803" spans="1:73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</row>
    <row r="804" spans="1:73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</row>
    <row r="805" spans="1:73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</row>
    <row r="806" spans="1:73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</row>
    <row r="807" spans="1:73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</row>
    <row r="808" spans="1:73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</row>
    <row r="809" spans="1:73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</row>
    <row r="810" spans="1:73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</row>
    <row r="811" spans="1:73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</row>
    <row r="812" spans="1:73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</row>
    <row r="813" spans="1:73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</row>
    <row r="814" spans="1:73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</row>
    <row r="815" spans="1:73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</row>
    <row r="816" spans="1:73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</row>
    <row r="817" spans="1:73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</row>
    <row r="818" spans="1:73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</row>
    <row r="819" spans="1:73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</row>
    <row r="820" spans="1:73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</row>
    <row r="821" spans="1:73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</row>
    <row r="822" spans="1:73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</row>
    <row r="823" spans="1:73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</row>
    <row r="824" spans="1:73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</row>
    <row r="825" spans="1:73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</row>
    <row r="826" spans="1:73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</row>
    <row r="827" spans="1:73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</row>
    <row r="828" spans="1:73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</row>
    <row r="829" spans="1:73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</row>
    <row r="830" spans="1:73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</row>
    <row r="831" spans="1:73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</row>
    <row r="832" spans="1:73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</row>
    <row r="833" spans="1:73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</row>
    <row r="834" spans="1:73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</row>
    <row r="835" spans="1:73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</row>
    <row r="836" spans="1:73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</row>
    <row r="837" spans="1:73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</row>
    <row r="838" spans="1:73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</row>
    <row r="839" spans="1:73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</row>
    <row r="840" spans="1:73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</row>
    <row r="841" spans="1:73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</row>
    <row r="842" spans="1:73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</row>
    <row r="843" spans="1:73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</row>
    <row r="844" spans="1:73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</row>
    <row r="845" spans="1:73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</row>
    <row r="846" spans="1:73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</row>
    <row r="847" spans="1:73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</row>
    <row r="848" spans="1:73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</row>
    <row r="849" spans="1:73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</row>
    <row r="850" spans="1:73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</row>
    <row r="851" spans="1:73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</row>
    <row r="852" spans="1:73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</row>
    <row r="853" spans="1:73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</row>
    <row r="854" spans="1:73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</row>
    <row r="855" spans="1:73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</row>
    <row r="856" spans="1:73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</row>
    <row r="857" spans="1:73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</row>
    <row r="858" spans="1:73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</row>
    <row r="859" spans="1:73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</row>
    <row r="860" spans="1:73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</row>
    <row r="861" spans="1:73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</row>
    <row r="862" spans="1:73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</row>
    <row r="863" spans="1:73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</row>
    <row r="864" spans="1:73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</row>
    <row r="865" spans="1:73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</row>
    <row r="866" spans="1:73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</row>
    <row r="867" spans="1:73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</row>
    <row r="868" spans="1:73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</row>
    <row r="869" spans="1:73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</row>
    <row r="870" spans="1:73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</row>
    <row r="871" spans="1:73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</row>
    <row r="872" spans="1:73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</row>
    <row r="873" spans="1:73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</row>
    <row r="874" spans="1:73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</row>
    <row r="875" spans="1:73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</row>
    <row r="876" spans="1:73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</row>
    <row r="877" spans="1:73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</row>
    <row r="878" spans="1:73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</row>
    <row r="879" spans="1:73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</row>
    <row r="880" spans="1:73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</row>
    <row r="881" spans="1:73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</row>
    <row r="882" spans="1:73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</row>
    <row r="883" spans="1:73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</row>
    <row r="884" spans="1:73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</row>
    <row r="885" spans="1:73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</row>
    <row r="886" spans="1:73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</row>
    <row r="887" spans="1:73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</row>
    <row r="888" spans="1:73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</row>
    <row r="889" spans="1:73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</row>
    <row r="890" spans="1:73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</row>
    <row r="891" spans="1:73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</row>
    <row r="892" spans="1:73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</row>
    <row r="893" spans="1:73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</row>
    <row r="894" spans="1:73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</row>
    <row r="895" spans="1:73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</row>
    <row r="896" spans="1:73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</row>
    <row r="897" spans="1:73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</row>
    <row r="898" spans="1:73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</row>
    <row r="899" spans="1:73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</row>
    <row r="900" spans="1:73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</row>
    <row r="901" spans="1:73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</row>
    <row r="902" spans="1:73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</row>
    <row r="903" spans="1:73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</row>
    <row r="904" spans="1:73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</row>
    <row r="905" spans="1:73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</row>
    <row r="906" spans="1:73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</row>
    <row r="907" spans="1:73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</row>
    <row r="908" spans="1:73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</row>
    <row r="909" spans="1:73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</row>
    <row r="910" spans="1:73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</row>
    <row r="911" spans="1:73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</row>
    <row r="912" spans="1:73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</row>
    <row r="913" spans="1:73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</row>
    <row r="914" spans="1:73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</row>
    <row r="915" spans="1:73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</row>
    <row r="916" spans="1:73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</row>
    <row r="917" spans="1:73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</row>
    <row r="918" spans="1:73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</row>
    <row r="919" spans="1:73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</row>
    <row r="920" spans="1:73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</row>
    <row r="921" spans="1:73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</row>
    <row r="922" spans="1:73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</row>
    <row r="923" spans="1:73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</row>
    <row r="924" spans="1:73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</row>
    <row r="925" spans="1:73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</row>
    <row r="926" spans="1:73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</row>
    <row r="927" spans="1:73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</row>
    <row r="928" spans="1:73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</row>
    <row r="929" spans="1:73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</row>
    <row r="930" spans="1:73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</row>
    <row r="931" spans="1:73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</row>
    <row r="932" spans="1:73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</row>
    <row r="933" spans="1:73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</row>
    <row r="934" spans="1:73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</row>
    <row r="935" spans="1:73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</row>
    <row r="936" spans="1:73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</row>
    <row r="937" spans="1:73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</row>
    <row r="938" spans="1:73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</row>
    <row r="939" spans="1:73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</row>
    <row r="940" spans="1:73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</row>
    <row r="941" spans="1:73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</row>
    <row r="942" spans="1:73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</row>
    <row r="943" spans="1:73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</row>
    <row r="944" spans="1:73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</row>
    <row r="945" spans="1:73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</row>
    <row r="946" spans="1:73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</row>
    <row r="947" spans="1:73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</row>
    <row r="948" spans="1:73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</row>
    <row r="949" spans="1:73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</row>
    <row r="950" spans="1:73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</row>
    <row r="951" spans="1:73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</row>
    <row r="952" spans="1:73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</row>
    <row r="953" spans="1:73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</row>
    <row r="954" spans="1:73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</row>
    <row r="955" spans="1:73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</row>
    <row r="956" spans="1:73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</row>
    <row r="957" spans="1:73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</row>
    <row r="958" spans="1:73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</row>
    <row r="959" spans="1:73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</row>
    <row r="960" spans="1:73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</row>
    <row r="961" spans="1:73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</row>
    <row r="962" spans="1:73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</row>
    <row r="963" spans="1:73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</row>
    <row r="964" spans="1:73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</row>
    <row r="965" spans="1:73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</row>
    <row r="966" spans="1:73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</row>
    <row r="967" spans="1:73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</row>
    <row r="968" spans="1:73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</row>
    <row r="969" spans="1:73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</row>
    <row r="970" spans="1:73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</row>
    <row r="971" spans="1:73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</row>
    <row r="972" spans="1:73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</row>
    <row r="973" spans="1:73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</row>
    <row r="974" spans="1:73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</row>
    <row r="975" spans="1:73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</row>
    <row r="976" spans="1:73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</row>
    <row r="977" spans="1:73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</row>
    <row r="978" spans="1:73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</row>
    <row r="979" spans="1:73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</row>
    <row r="980" spans="1:73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</row>
    <row r="981" spans="1:73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</row>
    <row r="982" spans="1:73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</row>
    <row r="983" spans="1:73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</row>
    <row r="984" spans="1:73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</row>
    <row r="985" spans="1:73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</row>
    <row r="986" spans="1:73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</row>
    <row r="987" spans="1:73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</row>
    <row r="988" spans="1:73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</row>
    <row r="989" spans="1:73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</row>
    <row r="990" spans="1:73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</row>
    <row r="991" spans="1:73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</row>
    <row r="992" spans="1:73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</row>
    <row r="993" spans="1:73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</row>
    <row r="994" spans="1:73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</row>
    <row r="995" spans="1:73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</row>
    <row r="996" spans="1:73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</row>
    <row r="997" spans="1:73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</row>
    <row r="998" spans="1:73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</row>
    <row r="999" spans="1:73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</row>
    <row r="1000" spans="1:73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81C8-34EE-2E40-9BDA-F86131C2F210}">
  <dimension ref="A1:L130"/>
  <sheetViews>
    <sheetView workbookViewId="0">
      <selection activeCell="A12" sqref="A12"/>
    </sheetView>
  </sheetViews>
  <sheetFormatPr baseColWidth="10" defaultColWidth="14.5" defaultRowHeight="16" x14ac:dyDescent="0.2"/>
  <cols>
    <col min="1" max="1" width="62.83203125" customWidth="1"/>
    <col min="5" max="5" width="53.5" customWidth="1"/>
    <col min="10" max="10" width="34.1640625" customWidth="1"/>
  </cols>
  <sheetData>
    <row r="1" spans="1:12" x14ac:dyDescent="0.2">
      <c r="A1" s="7" t="s">
        <v>116</v>
      </c>
    </row>
    <row r="3" spans="1:12" x14ac:dyDescent="0.2">
      <c r="E3" s="8"/>
    </row>
    <row r="4" spans="1:12" x14ac:dyDescent="0.2">
      <c r="B4" s="9"/>
      <c r="C4" s="10"/>
      <c r="F4" s="9"/>
      <c r="G4" s="10"/>
      <c r="J4" s="11" t="s">
        <v>117</v>
      </c>
      <c r="K4" s="8"/>
      <c r="L4" s="8"/>
    </row>
    <row r="5" spans="1:12" x14ac:dyDescent="0.2">
      <c r="A5" s="11" t="s">
        <v>118</v>
      </c>
      <c r="B5" s="12">
        <v>2.5000000000000001E-2</v>
      </c>
      <c r="C5" s="13">
        <v>0.05</v>
      </c>
      <c r="E5" s="11" t="s">
        <v>119</v>
      </c>
      <c r="F5" s="12">
        <v>2.5000000000000001E-2</v>
      </c>
      <c r="G5" s="13">
        <v>0.05</v>
      </c>
      <c r="J5" s="8"/>
      <c r="K5" s="8" t="s">
        <v>67</v>
      </c>
      <c r="L5" s="8" t="s">
        <v>68</v>
      </c>
    </row>
    <row r="6" spans="1:12" x14ac:dyDescent="0.2">
      <c r="A6" s="8" t="s">
        <v>69</v>
      </c>
      <c r="B6" s="8"/>
      <c r="C6" s="8"/>
      <c r="E6" s="8" t="s">
        <v>69</v>
      </c>
      <c r="F6" s="8"/>
      <c r="G6" s="8"/>
      <c r="J6" s="8" t="s">
        <v>70</v>
      </c>
      <c r="K6" s="8">
        <v>1155</v>
      </c>
      <c r="L6" s="8">
        <v>1155000</v>
      </c>
    </row>
    <row r="7" spans="1:12" x14ac:dyDescent="0.2">
      <c r="A7" s="8" t="s">
        <v>71</v>
      </c>
      <c r="B7" s="8" t="s">
        <v>72</v>
      </c>
      <c r="C7" s="8" t="s">
        <v>72</v>
      </c>
      <c r="E7" s="8" t="s">
        <v>71</v>
      </c>
      <c r="F7" s="8" t="s">
        <v>73</v>
      </c>
      <c r="G7" s="8" t="s">
        <v>73</v>
      </c>
      <c r="J7" s="8" t="s">
        <v>74</v>
      </c>
      <c r="K7" s="14">
        <v>60</v>
      </c>
      <c r="L7" s="14">
        <v>0.06</v>
      </c>
    </row>
    <row r="8" spans="1:12" x14ac:dyDescent="0.2">
      <c r="A8" s="8" t="s">
        <v>75</v>
      </c>
      <c r="B8" s="8">
        <v>606.92060000000004</v>
      </c>
      <c r="C8" s="8">
        <v>480.79320000000001</v>
      </c>
      <c r="E8" s="8" t="s">
        <v>76</v>
      </c>
      <c r="F8" s="8">
        <v>606.92060000000004</v>
      </c>
      <c r="G8" s="8">
        <v>480.79320000000001</v>
      </c>
      <c r="J8" s="8" t="s">
        <v>77</v>
      </c>
      <c r="K8" s="14">
        <v>30</v>
      </c>
      <c r="L8" s="14">
        <v>0.03</v>
      </c>
    </row>
    <row r="9" spans="1:12" x14ac:dyDescent="0.2">
      <c r="A9" s="8" t="s">
        <v>78</v>
      </c>
      <c r="B9" s="14">
        <v>137.94</v>
      </c>
      <c r="C9" s="14">
        <v>25.74</v>
      </c>
      <c r="E9" s="8" t="s">
        <v>78</v>
      </c>
      <c r="F9" s="14">
        <v>131.30000000000001</v>
      </c>
      <c r="G9" s="14">
        <v>23.35</v>
      </c>
      <c r="J9" s="8" t="s">
        <v>79</v>
      </c>
      <c r="K9" s="8"/>
      <c r="L9" s="14">
        <v>0.25</v>
      </c>
    </row>
    <row r="10" spans="1:12" x14ac:dyDescent="0.2">
      <c r="A10" s="8" t="s">
        <v>80</v>
      </c>
      <c r="B10" s="8"/>
      <c r="C10" s="8"/>
      <c r="E10" s="8" t="s">
        <v>80</v>
      </c>
      <c r="F10" s="8"/>
      <c r="G10" s="8"/>
      <c r="J10" s="8"/>
      <c r="K10" s="8"/>
      <c r="L10" s="8"/>
    </row>
    <row r="11" spans="1:12" x14ac:dyDescent="0.2">
      <c r="A11" s="8" t="s">
        <v>81</v>
      </c>
      <c r="B11" s="8" t="s">
        <v>82</v>
      </c>
      <c r="C11" s="8" t="s">
        <v>82</v>
      </c>
      <c r="E11" s="8" t="s">
        <v>81</v>
      </c>
      <c r="F11" s="8" t="s">
        <v>83</v>
      </c>
      <c r="G11" s="8" t="s">
        <v>84</v>
      </c>
      <c r="J11" s="8" t="s">
        <v>85</v>
      </c>
      <c r="K11" s="8"/>
      <c r="L11" s="14">
        <v>184800</v>
      </c>
    </row>
    <row r="12" spans="1:12" x14ac:dyDescent="0.2">
      <c r="A12" s="8" t="s">
        <v>86</v>
      </c>
      <c r="B12" s="8">
        <v>9000</v>
      </c>
      <c r="C12" s="8">
        <v>9000</v>
      </c>
      <c r="E12" s="8" t="s">
        <v>86</v>
      </c>
      <c r="F12" s="8">
        <v>8000</v>
      </c>
      <c r="G12" s="8">
        <v>8000</v>
      </c>
    </row>
    <row r="13" spans="1:12" x14ac:dyDescent="0.2">
      <c r="A13" s="8" t="s">
        <v>87</v>
      </c>
      <c r="B13" s="8">
        <v>818.18181819999995</v>
      </c>
      <c r="C13" s="8">
        <v>818.18181819999995</v>
      </c>
      <c r="E13" s="8" t="s">
        <v>87</v>
      </c>
      <c r="F13" s="8">
        <v>727.27272730000004</v>
      </c>
      <c r="G13" s="8">
        <v>727.27272730000004</v>
      </c>
    </row>
    <row r="14" spans="1:12" x14ac:dyDescent="0.2">
      <c r="A14" s="8" t="s">
        <v>78</v>
      </c>
      <c r="B14" s="14">
        <v>7784.35</v>
      </c>
      <c r="C14" s="14">
        <v>6796.16</v>
      </c>
      <c r="E14" s="8" t="s">
        <v>88</v>
      </c>
      <c r="F14" s="14">
        <v>6919.42</v>
      </c>
      <c r="G14" s="14">
        <v>6041.03</v>
      </c>
    </row>
    <row r="15" spans="1:12" x14ac:dyDescent="0.2">
      <c r="A15" s="8" t="s">
        <v>78</v>
      </c>
      <c r="B15" s="14">
        <v>7784.35</v>
      </c>
      <c r="C15" s="14">
        <v>6796.16</v>
      </c>
      <c r="E15" s="8" t="s">
        <v>78</v>
      </c>
      <c r="F15" s="14">
        <v>6586.01</v>
      </c>
      <c r="G15" s="14">
        <v>5479.39</v>
      </c>
    </row>
    <row r="16" spans="1:12" x14ac:dyDescent="0.2">
      <c r="A16" s="8" t="s">
        <v>89</v>
      </c>
      <c r="B16" s="14">
        <v>7922.3</v>
      </c>
      <c r="C16" s="14">
        <v>6821.9</v>
      </c>
      <c r="E16" s="8" t="s">
        <v>89</v>
      </c>
      <c r="F16" s="14">
        <v>6717.3</v>
      </c>
      <c r="G16" s="14">
        <v>5502.74</v>
      </c>
    </row>
    <row r="17" spans="1:7" x14ac:dyDescent="0.2">
      <c r="A17" s="8" t="s">
        <v>90</v>
      </c>
      <c r="B17" s="8"/>
      <c r="C17" s="8"/>
      <c r="E17" s="8" t="s">
        <v>90</v>
      </c>
      <c r="F17" s="8"/>
      <c r="G17" s="8"/>
    </row>
    <row r="18" spans="1:7" x14ac:dyDescent="0.2">
      <c r="A18" s="8" t="s">
        <v>91</v>
      </c>
      <c r="B18" s="8" t="s">
        <v>92</v>
      </c>
      <c r="C18" s="8" t="s">
        <v>92</v>
      </c>
      <c r="E18" s="8" t="s">
        <v>91</v>
      </c>
      <c r="F18" s="8" t="s">
        <v>92</v>
      </c>
      <c r="G18" s="8" t="s">
        <v>92</v>
      </c>
    </row>
    <row r="19" spans="1:7" x14ac:dyDescent="0.2">
      <c r="A19" s="8" t="s">
        <v>93</v>
      </c>
      <c r="B19" s="14">
        <v>279.32</v>
      </c>
      <c r="C19" s="14">
        <v>373.68</v>
      </c>
      <c r="E19" s="8" t="s">
        <v>93</v>
      </c>
      <c r="F19" s="14">
        <v>236.84</v>
      </c>
      <c r="G19" s="14">
        <v>301.42</v>
      </c>
    </row>
    <row r="20" spans="1:7" x14ac:dyDescent="0.2">
      <c r="A20" s="8" t="s">
        <v>94</v>
      </c>
      <c r="B20" s="14">
        <v>366.5</v>
      </c>
      <c r="C20" s="14">
        <v>639.12</v>
      </c>
      <c r="E20" s="8" t="s">
        <v>95</v>
      </c>
      <c r="F20" s="14">
        <v>326.49</v>
      </c>
      <c r="G20" s="14">
        <v>568.38</v>
      </c>
    </row>
    <row r="23" spans="1:7" x14ac:dyDescent="0.2">
      <c r="A23" s="11" t="s">
        <v>120</v>
      </c>
      <c r="B23" s="12">
        <v>2.5000000000000001E-2</v>
      </c>
      <c r="C23" s="13">
        <v>0.05</v>
      </c>
      <c r="E23" s="11" t="s">
        <v>121</v>
      </c>
      <c r="F23" s="12">
        <v>2.5000000000000001E-2</v>
      </c>
      <c r="G23" s="13">
        <v>0.05</v>
      </c>
    </row>
    <row r="24" spans="1:7" x14ac:dyDescent="0.2">
      <c r="A24" s="8" t="s">
        <v>69</v>
      </c>
      <c r="B24" s="8"/>
      <c r="C24" s="8"/>
      <c r="E24" s="8" t="s">
        <v>69</v>
      </c>
      <c r="F24" s="8"/>
      <c r="G24" s="8"/>
    </row>
    <row r="25" spans="1:7" x14ac:dyDescent="0.2">
      <c r="A25" s="8" t="s">
        <v>71</v>
      </c>
      <c r="B25" s="8" t="s">
        <v>96</v>
      </c>
      <c r="C25" s="8" t="s">
        <v>96</v>
      </c>
      <c r="E25" s="8" t="s">
        <v>71</v>
      </c>
      <c r="F25" s="8" t="s">
        <v>97</v>
      </c>
      <c r="G25" s="8" t="s">
        <v>98</v>
      </c>
    </row>
    <row r="26" spans="1:7" x14ac:dyDescent="0.2">
      <c r="A26" s="8" t="s">
        <v>99</v>
      </c>
      <c r="B26" s="8">
        <v>606.92060000000004</v>
      </c>
      <c r="C26" s="8">
        <v>480.79320000000001</v>
      </c>
      <c r="E26" s="8" t="s">
        <v>100</v>
      </c>
      <c r="F26" s="8">
        <v>606.92060000000004</v>
      </c>
      <c r="G26" s="8">
        <v>480.79320000000001</v>
      </c>
    </row>
    <row r="27" spans="1:7" x14ac:dyDescent="0.2">
      <c r="A27" s="8" t="s">
        <v>78</v>
      </c>
      <c r="B27" s="14">
        <v>124.97</v>
      </c>
      <c r="C27" s="14">
        <v>21.18</v>
      </c>
      <c r="E27" s="8" t="s">
        <v>78</v>
      </c>
      <c r="F27" s="14">
        <v>118.95</v>
      </c>
      <c r="G27" s="14">
        <v>19.21</v>
      </c>
    </row>
    <row r="28" spans="1:7" x14ac:dyDescent="0.2">
      <c r="A28" s="8" t="s">
        <v>80</v>
      </c>
      <c r="B28" s="8"/>
      <c r="C28" s="8"/>
      <c r="E28" s="8" t="s">
        <v>80</v>
      </c>
      <c r="F28" s="8"/>
      <c r="G28" s="8"/>
    </row>
    <row r="29" spans="1:7" x14ac:dyDescent="0.2">
      <c r="A29" s="8" t="s">
        <v>81</v>
      </c>
      <c r="B29" s="8" t="s">
        <v>101</v>
      </c>
      <c r="C29" s="8" t="s">
        <v>101</v>
      </c>
      <c r="E29" s="8" t="s">
        <v>81</v>
      </c>
      <c r="F29" s="8" t="s">
        <v>102</v>
      </c>
      <c r="G29" s="8" t="s">
        <v>102</v>
      </c>
    </row>
    <row r="30" spans="1:7" x14ac:dyDescent="0.2">
      <c r="A30" s="8" t="s">
        <v>86</v>
      </c>
      <c r="B30" s="8">
        <v>7000</v>
      </c>
      <c r="C30" s="8">
        <v>7000</v>
      </c>
      <c r="E30" s="8" t="s">
        <v>86</v>
      </c>
      <c r="F30" s="8">
        <v>6000</v>
      </c>
      <c r="G30" s="8">
        <v>6000</v>
      </c>
    </row>
    <row r="31" spans="1:7" x14ac:dyDescent="0.2">
      <c r="A31" s="8" t="s">
        <v>87</v>
      </c>
      <c r="B31" s="8">
        <v>636.36363640000002</v>
      </c>
      <c r="C31" s="8">
        <v>636.36363640000002</v>
      </c>
      <c r="E31" s="8" t="s">
        <v>87</v>
      </c>
      <c r="F31" s="8">
        <v>545.45454549999999</v>
      </c>
      <c r="G31" s="8">
        <v>545.45454549999999</v>
      </c>
    </row>
    <row r="32" spans="1:7" x14ac:dyDescent="0.2">
      <c r="A32" s="8" t="s">
        <v>103</v>
      </c>
      <c r="B32" s="14">
        <v>6054.5</v>
      </c>
      <c r="C32" s="14">
        <v>5285.9</v>
      </c>
      <c r="E32" s="8" t="s">
        <v>104</v>
      </c>
      <c r="F32" s="14">
        <v>5189.57</v>
      </c>
      <c r="G32" s="14">
        <v>4530.7700000000004</v>
      </c>
    </row>
    <row r="33" spans="1:7" x14ac:dyDescent="0.2">
      <c r="A33" s="8" t="s">
        <v>78</v>
      </c>
      <c r="B33" s="14">
        <v>5485.07</v>
      </c>
      <c r="C33" s="14">
        <v>4348.72</v>
      </c>
      <c r="E33" s="8" t="s">
        <v>78</v>
      </c>
      <c r="F33" s="14">
        <v>4474.95</v>
      </c>
      <c r="G33" s="14">
        <v>3380.93</v>
      </c>
    </row>
    <row r="34" spans="1:7" x14ac:dyDescent="0.2">
      <c r="A34" s="8" t="s">
        <v>89</v>
      </c>
      <c r="B34" s="14">
        <v>5610.04</v>
      </c>
      <c r="C34" s="14">
        <v>4369.8999999999996</v>
      </c>
      <c r="E34" s="8" t="s">
        <v>89</v>
      </c>
      <c r="F34" s="14">
        <v>4593.8999999999996</v>
      </c>
      <c r="G34" s="14">
        <v>3400.14</v>
      </c>
    </row>
    <row r="35" spans="1:7" x14ac:dyDescent="0.2">
      <c r="A35" s="8" t="s">
        <v>90</v>
      </c>
      <c r="B35" s="8"/>
      <c r="C35" s="8"/>
      <c r="E35" s="8" t="s">
        <v>90</v>
      </c>
      <c r="F35" s="8"/>
      <c r="G35" s="8"/>
    </row>
    <row r="36" spans="1:7" x14ac:dyDescent="0.2">
      <c r="A36" s="8" t="s">
        <v>91</v>
      </c>
      <c r="B36" s="8" t="s">
        <v>92</v>
      </c>
      <c r="C36" s="8" t="s">
        <v>92</v>
      </c>
      <c r="E36" s="8" t="s">
        <v>91</v>
      </c>
      <c r="F36" s="8" t="s">
        <v>92</v>
      </c>
      <c r="G36" s="8" t="s">
        <v>92</v>
      </c>
    </row>
    <row r="37" spans="1:7" x14ac:dyDescent="0.2">
      <c r="A37" s="8" t="s">
        <v>93</v>
      </c>
      <c r="B37" s="14">
        <v>197.8</v>
      </c>
      <c r="C37" s="14">
        <v>239.37</v>
      </c>
      <c r="E37" s="8" t="s">
        <v>93</v>
      </c>
      <c r="F37" s="14">
        <v>161.97</v>
      </c>
      <c r="G37" s="14">
        <v>186.25</v>
      </c>
    </row>
    <row r="38" spans="1:7" x14ac:dyDescent="0.2">
      <c r="A38" s="8" t="s">
        <v>105</v>
      </c>
      <c r="B38" s="14">
        <v>286.47000000000003</v>
      </c>
      <c r="C38" s="14">
        <v>497.63</v>
      </c>
      <c r="E38" s="8" t="s">
        <v>106</v>
      </c>
      <c r="F38" s="14">
        <v>246.46</v>
      </c>
      <c r="G38" s="14">
        <v>426.88</v>
      </c>
    </row>
    <row r="41" spans="1:7" x14ac:dyDescent="0.2">
      <c r="A41" s="11" t="s">
        <v>122</v>
      </c>
      <c r="B41" s="12">
        <v>2.5000000000000001E-2</v>
      </c>
      <c r="C41" s="13">
        <v>0.05</v>
      </c>
      <c r="E41" s="11" t="s">
        <v>123</v>
      </c>
      <c r="F41" s="12">
        <v>2.5000000000000001E-2</v>
      </c>
      <c r="G41" s="13">
        <v>0.05</v>
      </c>
    </row>
    <row r="42" spans="1:7" x14ac:dyDescent="0.2">
      <c r="A42" s="8" t="s">
        <v>69</v>
      </c>
      <c r="B42" s="8"/>
      <c r="C42" s="8"/>
      <c r="E42" s="8" t="s">
        <v>69</v>
      </c>
      <c r="F42" s="8"/>
      <c r="G42" s="8"/>
    </row>
    <row r="43" spans="1:7" x14ac:dyDescent="0.2">
      <c r="A43" s="8" t="s">
        <v>71</v>
      </c>
      <c r="B43" s="8" t="s">
        <v>107</v>
      </c>
      <c r="C43" s="8" t="s">
        <v>107</v>
      </c>
      <c r="E43" s="8" t="s">
        <v>71</v>
      </c>
      <c r="F43" s="8" t="s">
        <v>98</v>
      </c>
      <c r="G43" s="8" t="s">
        <v>98</v>
      </c>
    </row>
    <row r="44" spans="1:7" x14ac:dyDescent="0.2">
      <c r="A44" s="8" t="s">
        <v>108</v>
      </c>
      <c r="B44" s="8">
        <v>606.92060000000004</v>
      </c>
      <c r="C44" s="8">
        <v>480.79320000000001</v>
      </c>
      <c r="E44" s="8" t="s">
        <v>108</v>
      </c>
      <c r="F44" s="8">
        <v>606.92060000000004</v>
      </c>
      <c r="G44" s="8">
        <v>480.79320000000001</v>
      </c>
    </row>
    <row r="45" spans="1:7" x14ac:dyDescent="0.2">
      <c r="A45" s="8" t="s">
        <v>78</v>
      </c>
      <c r="B45" s="14">
        <v>113.22</v>
      </c>
      <c r="C45" s="14">
        <v>17.420000000000002</v>
      </c>
      <c r="E45" s="8" t="s">
        <v>78</v>
      </c>
      <c r="F45" s="14">
        <v>102.57</v>
      </c>
      <c r="G45" s="14">
        <v>14.33</v>
      </c>
    </row>
    <row r="46" spans="1:7" x14ac:dyDescent="0.2">
      <c r="A46" s="8" t="s">
        <v>80</v>
      </c>
      <c r="B46" s="8"/>
      <c r="C46" s="8"/>
      <c r="E46" s="8" t="s">
        <v>80</v>
      </c>
      <c r="F46" s="8"/>
      <c r="G46" s="8"/>
    </row>
    <row r="47" spans="1:7" x14ac:dyDescent="0.2">
      <c r="A47" s="8" t="s">
        <v>81</v>
      </c>
      <c r="B47" s="8" t="s">
        <v>109</v>
      </c>
      <c r="C47" s="8" t="s">
        <v>109</v>
      </c>
      <c r="E47" s="8" t="s">
        <v>81</v>
      </c>
      <c r="F47" s="8" t="s">
        <v>84</v>
      </c>
      <c r="G47" s="8" t="s">
        <v>84</v>
      </c>
    </row>
    <row r="48" spans="1:7" x14ac:dyDescent="0.2">
      <c r="A48" s="8" t="s">
        <v>86</v>
      </c>
      <c r="B48" s="8">
        <v>5000</v>
      </c>
      <c r="C48" s="8">
        <v>5000</v>
      </c>
      <c r="E48" s="8" t="s">
        <v>86</v>
      </c>
      <c r="F48" s="8">
        <v>4250</v>
      </c>
      <c r="G48" s="8">
        <v>4250</v>
      </c>
    </row>
    <row r="49" spans="1:7" x14ac:dyDescent="0.2">
      <c r="A49" s="8" t="s">
        <v>87</v>
      </c>
      <c r="B49" s="8">
        <v>454.54545450000001</v>
      </c>
      <c r="C49" s="8">
        <v>454.54545450000001</v>
      </c>
      <c r="E49" s="8" t="s">
        <v>87</v>
      </c>
      <c r="F49" s="8">
        <v>386.36363640000002</v>
      </c>
      <c r="G49" s="8">
        <v>386.36363640000002</v>
      </c>
    </row>
    <row r="50" spans="1:7" x14ac:dyDescent="0.2">
      <c r="A50" s="8" t="s">
        <v>110</v>
      </c>
      <c r="B50" s="14">
        <v>4324.6400000000003</v>
      </c>
      <c r="C50" s="14">
        <v>3775.64</v>
      </c>
      <c r="E50" s="8" t="s">
        <v>111</v>
      </c>
      <c r="F50" s="14">
        <v>3675.94</v>
      </c>
      <c r="G50" s="14">
        <v>3209.3</v>
      </c>
    </row>
    <row r="51" spans="1:7" x14ac:dyDescent="0.2">
      <c r="A51" s="8" t="s">
        <v>78</v>
      </c>
      <c r="B51" s="14">
        <v>3549.43</v>
      </c>
      <c r="C51" s="14">
        <v>2555.5</v>
      </c>
      <c r="E51" s="8" t="s">
        <v>78</v>
      </c>
      <c r="F51" s="14">
        <v>2733.27</v>
      </c>
      <c r="G51" s="14">
        <v>1787.06</v>
      </c>
    </row>
    <row r="52" spans="1:7" x14ac:dyDescent="0.2">
      <c r="A52" s="8" t="s">
        <v>89</v>
      </c>
      <c r="B52" s="14">
        <v>3662.65</v>
      </c>
      <c r="C52" s="14">
        <v>2572.9299999999998</v>
      </c>
      <c r="E52" s="8" t="s">
        <v>89</v>
      </c>
      <c r="F52" s="14">
        <v>2835.84</v>
      </c>
      <c r="G52" s="14">
        <v>1801.39</v>
      </c>
    </row>
    <row r="53" spans="1:7" x14ac:dyDescent="0.2">
      <c r="A53" s="8" t="s">
        <v>90</v>
      </c>
      <c r="B53" s="8"/>
      <c r="C53" s="8"/>
      <c r="E53" s="8" t="s">
        <v>90</v>
      </c>
      <c r="F53" s="8"/>
      <c r="G53" s="8"/>
    </row>
    <row r="54" spans="1:7" x14ac:dyDescent="0.2">
      <c r="A54" s="8" t="s">
        <v>91</v>
      </c>
      <c r="B54" s="8" t="s">
        <v>92</v>
      </c>
      <c r="C54" s="8" t="s">
        <v>92</v>
      </c>
      <c r="E54" s="8" t="s">
        <v>91</v>
      </c>
      <c r="F54" s="8" t="s">
        <v>92</v>
      </c>
      <c r="G54" s="8" t="s">
        <v>92</v>
      </c>
    </row>
    <row r="55" spans="1:7" x14ac:dyDescent="0.2">
      <c r="A55" s="8" t="s">
        <v>93</v>
      </c>
      <c r="B55" s="14">
        <v>129.13999999999999</v>
      </c>
      <c r="C55" s="14">
        <v>140.94</v>
      </c>
      <c r="E55" s="8" t="s">
        <v>93</v>
      </c>
      <c r="F55" s="14">
        <v>99.99</v>
      </c>
      <c r="G55" s="14">
        <v>98.67</v>
      </c>
    </row>
    <row r="56" spans="1:7" x14ac:dyDescent="0.2">
      <c r="A56" s="8" t="s">
        <v>112</v>
      </c>
      <c r="B56" s="14">
        <v>206.45</v>
      </c>
      <c r="C56" s="14">
        <v>356.14</v>
      </c>
      <c r="E56" s="8" t="s">
        <v>113</v>
      </c>
      <c r="F56" s="14">
        <v>176.44</v>
      </c>
      <c r="G56" s="14">
        <v>303.08</v>
      </c>
    </row>
    <row r="59" spans="1:7" x14ac:dyDescent="0.2">
      <c r="A59" s="11" t="s">
        <v>124</v>
      </c>
      <c r="B59" s="12">
        <v>2.5000000000000001E-2</v>
      </c>
      <c r="C59" s="13">
        <v>0.05</v>
      </c>
    </row>
    <row r="60" spans="1:7" x14ac:dyDescent="0.2">
      <c r="A60" s="8" t="s">
        <v>69</v>
      </c>
      <c r="B60" s="8"/>
      <c r="C60" s="8"/>
    </row>
    <row r="61" spans="1:7" x14ac:dyDescent="0.2">
      <c r="A61" s="8" t="s">
        <v>71</v>
      </c>
      <c r="B61" s="8" t="s">
        <v>114</v>
      </c>
      <c r="C61" s="8" t="s">
        <v>114</v>
      </c>
    </row>
    <row r="62" spans="1:7" x14ac:dyDescent="0.2">
      <c r="A62" s="8" t="s">
        <v>108</v>
      </c>
      <c r="B62" s="8">
        <v>606.92060000000004</v>
      </c>
      <c r="C62" s="8">
        <v>480.79320000000001</v>
      </c>
    </row>
    <row r="63" spans="1:7" x14ac:dyDescent="0.2">
      <c r="A63" s="8" t="s">
        <v>78</v>
      </c>
      <c r="B63" s="14">
        <v>97.63</v>
      </c>
      <c r="C63" s="14">
        <v>13</v>
      </c>
    </row>
    <row r="64" spans="1:7" x14ac:dyDescent="0.2">
      <c r="A64" s="8" t="s">
        <v>80</v>
      </c>
      <c r="B64" s="8"/>
      <c r="C64" s="8"/>
    </row>
    <row r="65" spans="1:7" x14ac:dyDescent="0.2">
      <c r="A65" s="8" t="s">
        <v>81</v>
      </c>
      <c r="B65" s="8" t="s">
        <v>115</v>
      </c>
      <c r="C65" s="8" t="s">
        <v>115</v>
      </c>
    </row>
    <row r="66" spans="1:7" x14ac:dyDescent="0.2">
      <c r="A66" s="8" t="s">
        <v>86</v>
      </c>
      <c r="B66" s="8">
        <v>3500</v>
      </c>
      <c r="C66" s="8">
        <v>3500</v>
      </c>
    </row>
    <row r="67" spans="1:7" x14ac:dyDescent="0.2">
      <c r="A67" s="8" t="s">
        <v>87</v>
      </c>
      <c r="B67" s="8">
        <v>318.18181820000001</v>
      </c>
      <c r="C67" s="8">
        <v>318.18181820000001</v>
      </c>
    </row>
    <row r="68" spans="1:7" x14ac:dyDescent="0.2">
      <c r="A68" s="8" t="s">
        <v>110</v>
      </c>
      <c r="B68" s="14">
        <v>3027.25</v>
      </c>
      <c r="C68" s="14">
        <v>2642.95</v>
      </c>
    </row>
    <row r="69" spans="1:7" x14ac:dyDescent="0.2">
      <c r="A69" s="8" t="s">
        <v>78</v>
      </c>
      <c r="B69" s="14">
        <v>2142.4699999999998</v>
      </c>
      <c r="C69" s="14">
        <v>1334.87</v>
      </c>
    </row>
    <row r="70" spans="1:7" x14ac:dyDescent="0.2">
      <c r="A70" s="8" t="s">
        <v>89</v>
      </c>
      <c r="B70" s="14">
        <v>2240.09</v>
      </c>
      <c r="C70" s="14">
        <v>1347.87</v>
      </c>
    </row>
    <row r="71" spans="1:7" x14ac:dyDescent="0.2">
      <c r="A71" s="8" t="s">
        <v>90</v>
      </c>
      <c r="B71" s="8"/>
      <c r="C71" s="8"/>
    </row>
    <row r="72" spans="1:7" x14ac:dyDescent="0.2">
      <c r="A72" s="8" t="s">
        <v>91</v>
      </c>
      <c r="B72" s="8" t="s">
        <v>92</v>
      </c>
      <c r="C72" s="8" t="s">
        <v>92</v>
      </c>
    </row>
    <row r="73" spans="1:7" x14ac:dyDescent="0.2">
      <c r="A73" s="8" t="s">
        <v>93</v>
      </c>
      <c r="B73" s="14">
        <v>78.98</v>
      </c>
      <c r="C73" s="14">
        <v>73.83</v>
      </c>
    </row>
    <row r="74" spans="1:7" x14ac:dyDescent="0.2">
      <c r="A74" s="8" t="s">
        <v>112</v>
      </c>
      <c r="B74" s="14">
        <v>146.43</v>
      </c>
      <c r="C74" s="14">
        <v>250.02</v>
      </c>
    </row>
    <row r="75" spans="1:7" x14ac:dyDescent="0.2">
      <c r="A75" s="8" t="s">
        <v>93</v>
      </c>
      <c r="B75" s="14">
        <v>279.32</v>
      </c>
      <c r="C75" s="14">
        <v>373.68</v>
      </c>
      <c r="F75" s="15"/>
      <c r="G75" s="15"/>
    </row>
    <row r="76" spans="1:7" x14ac:dyDescent="0.2">
      <c r="A76" s="8" t="s">
        <v>94</v>
      </c>
      <c r="B76" s="14">
        <v>366.5</v>
      </c>
      <c r="C76" s="14">
        <v>639.12</v>
      </c>
      <c r="F76" s="15"/>
      <c r="G76" s="15"/>
    </row>
    <row r="79" spans="1:7" x14ac:dyDescent="0.2">
      <c r="B79" s="9"/>
      <c r="C79" s="10"/>
      <c r="F79" s="9"/>
      <c r="G79" s="10"/>
    </row>
    <row r="83" spans="2:7" x14ac:dyDescent="0.2">
      <c r="B83" s="15"/>
      <c r="C83" s="15"/>
      <c r="F83" s="15"/>
      <c r="G83" s="15"/>
    </row>
    <row r="88" spans="2:7" x14ac:dyDescent="0.2">
      <c r="B88" s="15"/>
      <c r="C88" s="15"/>
      <c r="F88" s="15"/>
      <c r="G88" s="15"/>
    </row>
    <row r="89" spans="2:7" x14ac:dyDescent="0.2">
      <c r="B89" s="15"/>
      <c r="C89" s="15"/>
      <c r="F89" s="15"/>
      <c r="G89" s="15"/>
    </row>
    <row r="90" spans="2:7" x14ac:dyDescent="0.2">
      <c r="B90" s="15"/>
      <c r="C90" s="15"/>
      <c r="F90" s="15"/>
      <c r="G90" s="15"/>
    </row>
    <row r="93" spans="2:7" x14ac:dyDescent="0.2">
      <c r="B93" s="15"/>
      <c r="C93" s="15"/>
      <c r="F93" s="15"/>
      <c r="G93" s="15"/>
    </row>
    <row r="94" spans="2:7" x14ac:dyDescent="0.2">
      <c r="B94" s="15"/>
      <c r="C94" s="15"/>
      <c r="F94" s="15"/>
      <c r="G94" s="15"/>
    </row>
    <row r="97" spans="2:7" x14ac:dyDescent="0.2">
      <c r="B97" s="9"/>
      <c r="C97" s="10"/>
      <c r="F97" s="9"/>
      <c r="G97" s="10"/>
    </row>
    <row r="101" spans="2:7" x14ac:dyDescent="0.2">
      <c r="B101" s="15"/>
      <c r="C101" s="15"/>
      <c r="F101" s="15"/>
      <c r="G101" s="15"/>
    </row>
    <row r="106" spans="2:7" x14ac:dyDescent="0.2">
      <c r="B106" s="15"/>
      <c r="C106" s="15"/>
      <c r="F106" s="15"/>
      <c r="G106" s="15"/>
    </row>
    <row r="107" spans="2:7" x14ac:dyDescent="0.2">
      <c r="B107" s="15"/>
      <c r="C107" s="15"/>
      <c r="F107" s="15"/>
      <c r="G107" s="15"/>
    </row>
    <row r="108" spans="2:7" x14ac:dyDescent="0.2">
      <c r="B108" s="15"/>
      <c r="C108" s="15"/>
      <c r="F108" s="15"/>
      <c r="G108" s="15"/>
    </row>
    <row r="111" spans="2:7" x14ac:dyDescent="0.2">
      <c r="B111" s="15"/>
      <c r="C111" s="15"/>
      <c r="F111" s="15"/>
      <c r="G111" s="15"/>
    </row>
    <row r="112" spans="2:7" x14ac:dyDescent="0.2">
      <c r="B112" s="15"/>
      <c r="C112" s="15"/>
      <c r="F112" s="15"/>
      <c r="G112" s="15"/>
    </row>
    <row r="115" spans="2:3" x14ac:dyDescent="0.2">
      <c r="B115" s="9"/>
      <c r="C115" s="10"/>
    </row>
    <row r="119" spans="2:3" x14ac:dyDescent="0.2">
      <c r="B119" s="15"/>
      <c r="C119" s="15"/>
    </row>
    <row r="124" spans="2:3" x14ac:dyDescent="0.2">
      <c r="B124" s="15"/>
      <c r="C124" s="15"/>
    </row>
    <row r="125" spans="2:3" x14ac:dyDescent="0.2">
      <c r="B125" s="15"/>
      <c r="C125" s="15"/>
    </row>
    <row r="126" spans="2:3" x14ac:dyDescent="0.2">
      <c r="B126" s="15"/>
      <c r="C126" s="15"/>
    </row>
    <row r="129" spans="2:3" x14ac:dyDescent="0.2">
      <c r="B129" s="15"/>
      <c r="C129" s="15"/>
    </row>
    <row r="130" spans="2:3" x14ac:dyDescent="0.2">
      <c r="B130" s="15"/>
      <c r="C130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AED3-59D4-E545-B54C-75B41B7FEDFE}">
  <dimension ref="A1:AD1000"/>
  <sheetViews>
    <sheetView tabSelected="1" workbookViewId="0">
      <selection activeCell="G20" sqref="G20"/>
    </sheetView>
  </sheetViews>
  <sheetFormatPr baseColWidth="10" defaultColWidth="14.5" defaultRowHeight="15" customHeight="1" x14ac:dyDescent="0.2"/>
  <cols>
    <col min="1" max="30" width="16.5" style="16" customWidth="1"/>
    <col min="31" max="16384" width="14.5" style="16"/>
  </cols>
  <sheetData>
    <row r="1" spans="1:30" ht="27" customHeight="1" x14ac:dyDescent="0.2">
      <c r="A1" s="49" t="s">
        <v>125</v>
      </c>
      <c r="B1" s="50"/>
      <c r="C1" s="50"/>
      <c r="D1" s="50"/>
      <c r="E1" s="50"/>
      <c r="F1" s="17"/>
      <c r="G1" s="17" t="s">
        <v>126</v>
      </c>
      <c r="H1" s="17" t="s">
        <v>127</v>
      </c>
      <c r="I1" s="17" t="s">
        <v>128</v>
      </c>
      <c r="J1" s="17" t="s">
        <v>129</v>
      </c>
      <c r="K1" s="17"/>
      <c r="L1" s="17" t="s">
        <v>130</v>
      </c>
      <c r="M1" s="17" t="s">
        <v>131</v>
      </c>
      <c r="N1" s="17" t="s">
        <v>132</v>
      </c>
      <c r="O1" s="17" t="s">
        <v>133</v>
      </c>
      <c r="P1" s="17" t="s">
        <v>134</v>
      </c>
      <c r="Q1" s="17" t="s">
        <v>135</v>
      </c>
      <c r="R1" s="17" t="s">
        <v>136</v>
      </c>
      <c r="S1" s="17" t="s">
        <v>137</v>
      </c>
      <c r="T1" s="17" t="s">
        <v>138</v>
      </c>
      <c r="U1" s="17" t="s">
        <v>139</v>
      </c>
      <c r="V1" s="17" t="s">
        <v>140</v>
      </c>
      <c r="W1" s="17"/>
      <c r="X1" s="17"/>
      <c r="Y1" s="17" t="s">
        <v>141</v>
      </c>
      <c r="Z1" s="18" t="s">
        <v>142</v>
      </c>
      <c r="AA1" s="17"/>
      <c r="AB1" s="17"/>
      <c r="AC1" s="17"/>
      <c r="AD1" s="17"/>
    </row>
    <row r="2" spans="1:30" ht="20.25" customHeight="1" x14ac:dyDescent="0.2">
      <c r="A2" s="19" t="s">
        <v>143</v>
      </c>
      <c r="B2" s="20" t="s">
        <v>144</v>
      </c>
      <c r="C2" s="20" t="s">
        <v>145</v>
      </c>
      <c r="D2" s="20" t="s">
        <v>146</v>
      </c>
      <c r="E2" s="20" t="s">
        <v>147</v>
      </c>
      <c r="F2" s="17"/>
      <c r="G2" s="17"/>
      <c r="H2" s="17"/>
      <c r="I2" s="17"/>
      <c r="J2" s="17"/>
      <c r="K2" s="17"/>
      <c r="L2" s="17">
        <f t="shared" ref="L2:O17" ca="1" si="0">RANDBETWEEN(0,100)</f>
        <v>19</v>
      </c>
      <c r="M2" s="17">
        <f t="shared" ca="1" si="0"/>
        <v>32</v>
      </c>
      <c r="N2" s="17">
        <f t="shared" ca="1" si="0"/>
        <v>55</v>
      </c>
      <c r="O2" s="17">
        <f t="shared" ca="1" si="0"/>
        <v>91</v>
      </c>
      <c r="P2" s="17">
        <f t="shared" ref="P2:P101" ca="1" si="1">SUM(L2:O2)</f>
        <v>197</v>
      </c>
      <c r="Q2" s="21">
        <f t="shared" ref="Q2:Q101" ca="1" si="2">L2/P2</f>
        <v>9.6446700507614211E-2</v>
      </c>
      <c r="R2" s="21">
        <f t="shared" ref="R2:R101" ca="1" si="3">M2/P2</f>
        <v>0.16243654822335024</v>
      </c>
      <c r="S2" s="21">
        <f t="shared" ref="S2:S101" ca="1" si="4">N2/P2</f>
        <v>0.27918781725888325</v>
      </c>
      <c r="T2" s="21">
        <f t="shared" ref="T2:T101" ca="1" si="5">O2/P2</f>
        <v>0.46192893401015228</v>
      </c>
      <c r="U2" s="21">
        <f t="shared" ref="U2:U101" ca="1" si="6">SUM(Q2:T2)</f>
        <v>1</v>
      </c>
      <c r="V2" s="22" t="str">
        <f ca="1">IF(ROUND(SUM(Q2:T2),2)=1,"✅ OK","❌ ERREUR")</f>
        <v>✅ OK</v>
      </c>
      <c r="W2" s="21"/>
      <c r="X2" s="17"/>
      <c r="Y2" s="21">
        <f t="array" aca="1" ref="Y2" ca="1">MMULT(MMULT(Q2:T2,$G$59:$J$62),TRANSPOSE(Q2:T2))</f>
        <v>4.8429117413409759E-2</v>
      </c>
      <c r="Z2" s="23">
        <f t="shared" ref="Z2:Z101" ca="1" si="7">SUMPRODUCT(T2:W2,$G$52:$J$52)</f>
        <v>0.13194984207944635</v>
      </c>
      <c r="AA2" s="17"/>
      <c r="AB2" s="17"/>
      <c r="AC2" s="17"/>
      <c r="AD2" s="17"/>
    </row>
    <row r="3" spans="1:30" ht="20.25" customHeight="1" x14ac:dyDescent="0.2">
      <c r="A3" s="24">
        <v>1964</v>
      </c>
      <c r="B3" s="25">
        <v>0.10780000000000001</v>
      </c>
      <c r="C3" s="25">
        <v>5.21E-2</v>
      </c>
      <c r="D3" s="25">
        <v>-0.02</v>
      </c>
      <c r="E3" s="26">
        <v>0.16309999999999999</v>
      </c>
      <c r="F3" s="17"/>
      <c r="G3" s="21">
        <f t="shared" ref="G3:J18" si="8">(B3)+1</f>
        <v>1.1078000000000001</v>
      </c>
      <c r="H3" s="21">
        <f t="shared" si="8"/>
        <v>1.0521</v>
      </c>
      <c r="I3" s="21">
        <f t="shared" si="8"/>
        <v>0.98</v>
      </c>
      <c r="J3" s="21">
        <f t="shared" si="8"/>
        <v>1.1631</v>
      </c>
      <c r="K3" s="17"/>
      <c r="L3" s="17">
        <f t="shared" ca="1" si="0"/>
        <v>83</v>
      </c>
      <c r="M3" s="17">
        <f t="shared" ca="1" si="0"/>
        <v>30</v>
      </c>
      <c r="N3" s="17">
        <f t="shared" ca="1" si="0"/>
        <v>64</v>
      </c>
      <c r="O3" s="17">
        <f t="shared" ca="1" si="0"/>
        <v>4</v>
      </c>
      <c r="P3" s="17">
        <f t="shared" ca="1" si="1"/>
        <v>181</v>
      </c>
      <c r="Q3" s="21">
        <f t="shared" ca="1" si="2"/>
        <v>0.4585635359116022</v>
      </c>
      <c r="R3" s="21">
        <f t="shared" ca="1" si="3"/>
        <v>0.16574585635359115</v>
      </c>
      <c r="S3" s="21">
        <f t="shared" ca="1" si="4"/>
        <v>0.35359116022099446</v>
      </c>
      <c r="T3" s="21">
        <f t="shared" ca="1" si="5"/>
        <v>2.2099447513812154E-2</v>
      </c>
      <c r="U3" s="21">
        <f t="shared" ca="1" si="6"/>
        <v>1</v>
      </c>
      <c r="V3" s="22" t="str">
        <f t="shared" ref="V3:V66" ca="1" si="9">IF(ROUND(SUM(Q3:T3),2)=1,"✅ OK","❌ ERREUR")</f>
        <v>✅ OK</v>
      </c>
      <c r="W3" s="21"/>
      <c r="X3" s="21"/>
      <c r="Y3" s="21">
        <f t="array" aca="1" ref="Y3" ca="1">MMULT(MMULT(Q3:T3,$G$59:$J$62),TRANSPOSE(Q3:T3))</f>
        <v>6.8277423095602627E-2</v>
      </c>
      <c r="Z3" s="23">
        <f t="shared" ca="1" si="7"/>
        <v>7.4578288444093269E-2</v>
      </c>
      <c r="AA3" s="17"/>
      <c r="AB3" s="17"/>
      <c r="AC3" s="17"/>
      <c r="AD3" s="17"/>
    </row>
    <row r="4" spans="1:30" ht="20.25" customHeight="1" x14ac:dyDescent="0.2">
      <c r="A4" s="24">
        <v>1965</v>
      </c>
      <c r="B4" s="25">
        <v>0.13650000000000001</v>
      </c>
      <c r="C4" s="25">
        <v>0.5716</v>
      </c>
      <c r="D4" s="25">
        <v>0.93870000000000009</v>
      </c>
      <c r="E4" s="26">
        <v>0.1439</v>
      </c>
      <c r="F4" s="17"/>
      <c r="G4" s="21">
        <f t="shared" si="8"/>
        <v>1.1365000000000001</v>
      </c>
      <c r="H4" s="21">
        <f t="shared" si="8"/>
        <v>1.5716000000000001</v>
      </c>
      <c r="I4" s="21">
        <f t="shared" si="8"/>
        <v>1.9387000000000001</v>
      </c>
      <c r="J4" s="21">
        <f t="shared" si="8"/>
        <v>1.1438999999999999</v>
      </c>
      <c r="K4" s="17"/>
      <c r="L4" s="17">
        <f t="shared" ca="1" si="0"/>
        <v>74</v>
      </c>
      <c r="M4" s="17">
        <f t="shared" ca="1" si="0"/>
        <v>99</v>
      </c>
      <c r="N4" s="17">
        <f t="shared" ca="1" si="0"/>
        <v>63</v>
      </c>
      <c r="O4" s="17">
        <f t="shared" ca="1" si="0"/>
        <v>63</v>
      </c>
      <c r="P4" s="17">
        <f t="shared" ca="1" si="1"/>
        <v>299</v>
      </c>
      <c r="Q4" s="21">
        <f t="shared" ca="1" si="2"/>
        <v>0.24749163879598662</v>
      </c>
      <c r="R4" s="21">
        <f t="shared" ca="1" si="3"/>
        <v>0.33110367892976589</v>
      </c>
      <c r="S4" s="21">
        <f t="shared" ca="1" si="4"/>
        <v>0.21070234113712374</v>
      </c>
      <c r="T4" s="21">
        <f t="shared" ca="1" si="5"/>
        <v>0.21070234113712374</v>
      </c>
      <c r="U4" s="21">
        <f t="shared" ca="1" si="6"/>
        <v>1</v>
      </c>
      <c r="V4" s="22" t="str">
        <f t="shared" ca="1" si="9"/>
        <v>✅ OK</v>
      </c>
      <c r="W4" s="21"/>
      <c r="X4" s="21"/>
      <c r="Y4" s="21">
        <f t="array" aca="1" ref="Y4" ca="1">MMULT(MMULT(Q4:T4,$G$59:$J$62),TRANSPOSE(Q4:T4))</f>
        <v>4.9459630565555968E-2</v>
      </c>
      <c r="Z4" s="23">
        <f t="shared" ca="1" si="7"/>
        <v>9.9179733684810784E-2</v>
      </c>
      <c r="AA4" s="17"/>
      <c r="AB4" s="17"/>
      <c r="AC4" s="17"/>
      <c r="AD4" s="17"/>
    </row>
    <row r="5" spans="1:30" ht="20.25" customHeight="1" x14ac:dyDescent="0.2">
      <c r="A5" s="24">
        <v>1966</v>
      </c>
      <c r="B5" s="25">
        <v>-0.1542</v>
      </c>
      <c r="C5" s="25">
        <v>6.1799999999999987E-2</v>
      </c>
      <c r="D5" s="25">
        <v>-0.16739999999999999</v>
      </c>
      <c r="E5" s="26">
        <v>-8.6900000000000005E-2</v>
      </c>
      <c r="F5" s="17"/>
      <c r="G5" s="21">
        <f t="shared" si="8"/>
        <v>0.8458</v>
      </c>
      <c r="H5" s="21">
        <f t="shared" si="8"/>
        <v>1.0618000000000001</v>
      </c>
      <c r="I5" s="21">
        <f t="shared" si="8"/>
        <v>0.83260000000000001</v>
      </c>
      <c r="J5" s="21">
        <f t="shared" si="8"/>
        <v>0.91310000000000002</v>
      </c>
      <c r="K5" s="17"/>
      <c r="L5" s="17">
        <f t="shared" ca="1" si="0"/>
        <v>83</v>
      </c>
      <c r="M5" s="17">
        <f t="shared" ca="1" si="0"/>
        <v>64</v>
      </c>
      <c r="N5" s="17">
        <f t="shared" ca="1" si="0"/>
        <v>75</v>
      </c>
      <c r="O5" s="17">
        <f t="shared" ca="1" si="0"/>
        <v>9</v>
      </c>
      <c r="P5" s="17">
        <f t="shared" ca="1" si="1"/>
        <v>231</v>
      </c>
      <c r="Q5" s="21">
        <f t="shared" ca="1" si="2"/>
        <v>0.3593073593073593</v>
      </c>
      <c r="R5" s="21">
        <f t="shared" ca="1" si="3"/>
        <v>0.27705627705627706</v>
      </c>
      <c r="S5" s="21">
        <f t="shared" ca="1" si="4"/>
        <v>0.32467532467532467</v>
      </c>
      <c r="T5" s="21">
        <f t="shared" ca="1" si="5"/>
        <v>3.896103896103896E-2</v>
      </c>
      <c r="U5" s="21">
        <f t="shared" ca="1" si="6"/>
        <v>1</v>
      </c>
      <c r="V5" s="22" t="str">
        <f t="shared" ca="1" si="9"/>
        <v>✅ OK</v>
      </c>
      <c r="W5" s="21"/>
      <c r="X5" s="21"/>
      <c r="Y5" s="21">
        <f t="array" aca="1" ref="Y5" ca="1">MMULT(MMULT(Q5:T5,$G$59:$J$62),TRANSPOSE(Q5:T5))</f>
        <v>6.3644239527040222E-2</v>
      </c>
      <c r="Z5" s="23">
        <f t="shared" ca="1" si="7"/>
        <v>7.6777721924094919E-2</v>
      </c>
      <c r="AA5" s="17"/>
      <c r="AB5" s="17"/>
      <c r="AC5" s="17"/>
      <c r="AD5" s="17"/>
    </row>
    <row r="6" spans="1:30" ht="20.25" customHeight="1" x14ac:dyDescent="0.2">
      <c r="A6" s="24">
        <v>1967</v>
      </c>
      <c r="B6" s="25">
        <v>0.80220000000000002</v>
      </c>
      <c r="C6" s="25">
        <v>0.2288</v>
      </c>
      <c r="D6" s="25">
        <v>1.224</v>
      </c>
      <c r="E6" s="26">
        <v>0.28570000000000001</v>
      </c>
      <c r="F6" s="17"/>
      <c r="G6" s="21">
        <f t="shared" si="8"/>
        <v>1.8022</v>
      </c>
      <c r="H6" s="21">
        <f t="shared" si="8"/>
        <v>1.2288000000000001</v>
      </c>
      <c r="I6" s="21">
        <f t="shared" si="8"/>
        <v>2.2240000000000002</v>
      </c>
      <c r="J6" s="21">
        <f t="shared" si="8"/>
        <v>1.2857000000000001</v>
      </c>
      <c r="K6" s="17"/>
      <c r="L6" s="17">
        <f t="shared" ca="1" si="0"/>
        <v>63</v>
      </c>
      <c r="M6" s="17">
        <f t="shared" ca="1" si="0"/>
        <v>21</v>
      </c>
      <c r="N6" s="17">
        <f t="shared" ca="1" si="0"/>
        <v>94</v>
      </c>
      <c r="O6" s="17">
        <f t="shared" ca="1" si="0"/>
        <v>15</v>
      </c>
      <c r="P6" s="17">
        <f t="shared" ca="1" si="1"/>
        <v>193</v>
      </c>
      <c r="Q6" s="21">
        <f t="shared" ca="1" si="2"/>
        <v>0.32642487046632124</v>
      </c>
      <c r="R6" s="21">
        <f t="shared" ca="1" si="3"/>
        <v>0.10880829015544041</v>
      </c>
      <c r="S6" s="21">
        <f t="shared" ca="1" si="4"/>
        <v>0.48704663212435234</v>
      </c>
      <c r="T6" s="21">
        <f t="shared" ca="1" si="5"/>
        <v>7.7720207253886009E-2</v>
      </c>
      <c r="U6" s="21">
        <f t="shared" ca="1" si="6"/>
        <v>1</v>
      </c>
      <c r="V6" s="22" t="str">
        <f t="shared" ca="1" si="9"/>
        <v>✅ OK</v>
      </c>
      <c r="W6" s="21"/>
      <c r="X6" s="21"/>
      <c r="Y6" s="21">
        <f t="array" aca="1" ref="Y6" ca="1">MMULT(MMULT(Q6:T6,$G$59:$J$62),TRANSPOSE(Q6:T6))</f>
        <v>7.8774731172715537E-2</v>
      </c>
      <c r="Z6" s="23">
        <f t="shared" ca="1" si="7"/>
        <v>8.1833485056959032E-2</v>
      </c>
      <c r="AA6" s="17"/>
      <c r="AB6" s="17"/>
      <c r="AC6" s="17"/>
      <c r="AD6" s="17"/>
    </row>
    <row r="7" spans="1:30" ht="20.25" customHeight="1" x14ac:dyDescent="0.2">
      <c r="A7" s="24">
        <v>1968</v>
      </c>
      <c r="B7" s="25">
        <v>0.4425</v>
      </c>
      <c r="C7" s="25">
        <v>7.9100000000000004E-2</v>
      </c>
      <c r="D7" s="25">
        <v>0.4889</v>
      </c>
      <c r="E7" s="26">
        <v>0.14169999999999999</v>
      </c>
      <c r="F7" s="17"/>
      <c r="G7" s="21">
        <f t="shared" si="8"/>
        <v>1.4424999999999999</v>
      </c>
      <c r="H7" s="21">
        <f t="shared" si="8"/>
        <v>1.0790999999999999</v>
      </c>
      <c r="I7" s="21">
        <f t="shared" si="8"/>
        <v>1.4889000000000001</v>
      </c>
      <c r="J7" s="21">
        <f t="shared" si="8"/>
        <v>1.1416999999999999</v>
      </c>
      <c r="K7" s="17"/>
      <c r="L7" s="17">
        <f t="shared" ca="1" si="0"/>
        <v>59</v>
      </c>
      <c r="M7" s="17">
        <f t="shared" ca="1" si="0"/>
        <v>84</v>
      </c>
      <c r="N7" s="17">
        <f t="shared" ca="1" si="0"/>
        <v>48</v>
      </c>
      <c r="O7" s="17">
        <f t="shared" ca="1" si="0"/>
        <v>61</v>
      </c>
      <c r="P7" s="17">
        <f t="shared" ca="1" si="1"/>
        <v>252</v>
      </c>
      <c r="Q7" s="21">
        <f t="shared" ca="1" si="2"/>
        <v>0.23412698412698413</v>
      </c>
      <c r="R7" s="21">
        <f t="shared" ca="1" si="3"/>
        <v>0.33333333333333331</v>
      </c>
      <c r="S7" s="21">
        <f t="shared" ca="1" si="4"/>
        <v>0.19047619047619047</v>
      </c>
      <c r="T7" s="21">
        <f t="shared" ca="1" si="5"/>
        <v>0.24206349206349206</v>
      </c>
      <c r="U7" s="21">
        <f t="shared" ca="1" si="6"/>
        <v>1</v>
      </c>
      <c r="V7" s="22" t="str">
        <f t="shared" ca="1" si="9"/>
        <v>✅ OK</v>
      </c>
      <c r="W7" s="21"/>
      <c r="X7" s="21"/>
      <c r="Y7" s="21">
        <f t="array" aca="1" ref="Y7" ca="1">MMULT(MMULT(Q7:T7,$G$59:$J$62),TRANSPOSE(Q7:T7))</f>
        <v>4.7330702245542797E-2</v>
      </c>
      <c r="Z7" s="23">
        <f t="shared" ca="1" si="7"/>
        <v>0.10327049614544338</v>
      </c>
      <c r="AA7" s="17"/>
      <c r="AB7" s="17"/>
      <c r="AC7" s="17"/>
      <c r="AD7" s="17"/>
    </row>
    <row r="8" spans="1:30" ht="20.25" customHeight="1" x14ac:dyDescent="0.2">
      <c r="A8" s="24">
        <v>1969</v>
      </c>
      <c r="B8" s="25">
        <v>-0.2361</v>
      </c>
      <c r="C8" s="25">
        <v>-0.2024</v>
      </c>
      <c r="D8" s="25">
        <v>-0.28960000000000002</v>
      </c>
      <c r="E8" s="26">
        <v>-0.1084</v>
      </c>
      <c r="F8" s="17"/>
      <c r="G8" s="21">
        <f t="shared" si="8"/>
        <v>0.76390000000000002</v>
      </c>
      <c r="H8" s="21">
        <f t="shared" si="8"/>
        <v>0.79759999999999998</v>
      </c>
      <c r="I8" s="21">
        <f t="shared" si="8"/>
        <v>0.71039999999999992</v>
      </c>
      <c r="J8" s="21">
        <f t="shared" si="8"/>
        <v>0.89159999999999995</v>
      </c>
      <c r="K8" s="17"/>
      <c r="L8" s="17">
        <f t="shared" ca="1" si="0"/>
        <v>98</v>
      </c>
      <c r="M8" s="17">
        <f t="shared" ca="1" si="0"/>
        <v>22</v>
      </c>
      <c r="N8" s="17">
        <f t="shared" ca="1" si="0"/>
        <v>64</v>
      </c>
      <c r="O8" s="17">
        <f t="shared" ca="1" si="0"/>
        <v>78</v>
      </c>
      <c r="P8" s="17">
        <f t="shared" ca="1" si="1"/>
        <v>262</v>
      </c>
      <c r="Q8" s="21">
        <f t="shared" ca="1" si="2"/>
        <v>0.37404580152671757</v>
      </c>
      <c r="R8" s="21">
        <f t="shared" ca="1" si="3"/>
        <v>8.3969465648854963E-2</v>
      </c>
      <c r="S8" s="21">
        <f t="shared" ca="1" si="4"/>
        <v>0.24427480916030533</v>
      </c>
      <c r="T8" s="21">
        <f t="shared" ca="1" si="5"/>
        <v>0.29770992366412213</v>
      </c>
      <c r="U8" s="21">
        <f t="shared" ca="1" si="6"/>
        <v>1</v>
      </c>
      <c r="V8" s="22" t="str">
        <f t="shared" ca="1" si="9"/>
        <v>✅ OK</v>
      </c>
      <c r="W8" s="21"/>
      <c r="X8" s="21"/>
      <c r="Y8" s="21">
        <f t="array" aca="1" ref="Y8" ca="1">MMULT(MMULT(Q8:T8,$G$59:$J$62),TRANSPOSE(Q8:T8))</f>
        <v>5.1249270510046539E-2</v>
      </c>
      <c r="Z8" s="23">
        <f t="shared" ca="1" si="7"/>
        <v>0.11052904140720614</v>
      </c>
      <c r="AA8" s="17"/>
      <c r="AB8" s="17"/>
      <c r="AC8" s="17"/>
      <c r="AD8" s="17"/>
    </row>
    <row r="9" spans="1:30" ht="20.25" customHeight="1" x14ac:dyDescent="0.2">
      <c r="A9" s="24">
        <v>1970</v>
      </c>
      <c r="B9" s="25">
        <v>5.3400000000000003E-2</v>
      </c>
      <c r="C9" s="25">
        <v>-0.44629999999999997</v>
      </c>
      <c r="D9" s="25">
        <v>-0.26429999999999998</v>
      </c>
      <c r="E9" s="26">
        <v>8.0000000000000004E-4</v>
      </c>
      <c r="F9" s="17"/>
      <c r="G9" s="21">
        <f t="shared" si="8"/>
        <v>1.0533999999999999</v>
      </c>
      <c r="H9" s="21">
        <f t="shared" si="8"/>
        <v>0.55370000000000008</v>
      </c>
      <c r="I9" s="21">
        <f t="shared" si="8"/>
        <v>0.73570000000000002</v>
      </c>
      <c r="J9" s="21">
        <f t="shared" si="8"/>
        <v>1.0007999999999999</v>
      </c>
      <c r="K9" s="17"/>
      <c r="L9" s="17">
        <f t="shared" ca="1" si="0"/>
        <v>75</v>
      </c>
      <c r="M9" s="17">
        <f t="shared" ca="1" si="0"/>
        <v>58</v>
      </c>
      <c r="N9" s="17">
        <f t="shared" ca="1" si="0"/>
        <v>21</v>
      </c>
      <c r="O9" s="17">
        <f t="shared" ca="1" si="0"/>
        <v>82</v>
      </c>
      <c r="P9" s="17">
        <f t="shared" ca="1" si="1"/>
        <v>236</v>
      </c>
      <c r="Q9" s="21">
        <f t="shared" ca="1" si="2"/>
        <v>0.31779661016949151</v>
      </c>
      <c r="R9" s="21">
        <f t="shared" ca="1" si="3"/>
        <v>0.24576271186440679</v>
      </c>
      <c r="S9" s="21">
        <f t="shared" ca="1" si="4"/>
        <v>8.8983050847457626E-2</v>
      </c>
      <c r="T9" s="21">
        <f t="shared" ca="1" si="5"/>
        <v>0.34745762711864409</v>
      </c>
      <c r="U9" s="21">
        <f t="shared" ca="1" si="6"/>
        <v>1</v>
      </c>
      <c r="V9" s="22" t="str">
        <f t="shared" ca="1" si="9"/>
        <v>✅ OK</v>
      </c>
      <c r="W9" s="21"/>
      <c r="X9" s="21"/>
      <c r="Y9" s="21">
        <f t="array" aca="1" ref="Y9" ca="1">MMULT(MMULT(Q9:T9,$G$59:$J$62),TRANSPOSE(Q9:T9))</f>
        <v>3.8889656623642382E-2</v>
      </c>
      <c r="Z9" s="23">
        <f t="shared" ca="1" si="7"/>
        <v>0.11701815394877853</v>
      </c>
      <c r="AA9" s="17"/>
      <c r="AB9" s="17"/>
      <c r="AC9" s="17"/>
      <c r="AD9" s="17"/>
    </row>
    <row r="10" spans="1:30" ht="20.25" customHeight="1" x14ac:dyDescent="0.2">
      <c r="A10" s="24">
        <v>1971</v>
      </c>
      <c r="B10" s="25">
        <v>0.1777</v>
      </c>
      <c r="C10" s="25">
        <v>-7.51E-2</v>
      </c>
      <c r="D10" s="25">
        <v>0.27150000000000002</v>
      </c>
      <c r="E10" s="26">
        <v>0.16200000000000001</v>
      </c>
      <c r="F10" s="17"/>
      <c r="G10" s="21">
        <f t="shared" si="8"/>
        <v>1.1777</v>
      </c>
      <c r="H10" s="21">
        <f t="shared" si="8"/>
        <v>0.92490000000000006</v>
      </c>
      <c r="I10" s="21">
        <f t="shared" si="8"/>
        <v>1.2715000000000001</v>
      </c>
      <c r="J10" s="21">
        <f t="shared" si="8"/>
        <v>1.1619999999999999</v>
      </c>
      <c r="K10" s="17"/>
      <c r="L10" s="17">
        <f t="shared" ca="1" si="0"/>
        <v>77</v>
      </c>
      <c r="M10" s="17">
        <f t="shared" ca="1" si="0"/>
        <v>32</v>
      </c>
      <c r="N10" s="17">
        <f t="shared" ca="1" si="0"/>
        <v>19</v>
      </c>
      <c r="O10" s="17">
        <f t="shared" ca="1" si="0"/>
        <v>92</v>
      </c>
      <c r="P10" s="17">
        <f t="shared" ca="1" si="1"/>
        <v>220</v>
      </c>
      <c r="Q10" s="21">
        <f t="shared" ca="1" si="2"/>
        <v>0.35</v>
      </c>
      <c r="R10" s="21">
        <f t="shared" ca="1" si="3"/>
        <v>0.14545454545454545</v>
      </c>
      <c r="S10" s="21">
        <f t="shared" ca="1" si="4"/>
        <v>8.6363636363636365E-2</v>
      </c>
      <c r="T10" s="21">
        <f t="shared" ca="1" si="5"/>
        <v>0.41818181818181815</v>
      </c>
      <c r="U10" s="21">
        <f t="shared" ca="1" si="6"/>
        <v>1</v>
      </c>
      <c r="V10" s="22" t="str">
        <f t="shared" ca="1" si="9"/>
        <v>✅ OK</v>
      </c>
      <c r="W10" s="21"/>
      <c r="X10" s="21"/>
      <c r="Y10" s="21">
        <f t="array" aca="1" ref="Y10" ca="1">MMULT(MMULT(Q10:T10,$G$59:$J$62),TRANSPOSE(Q10:T10))</f>
        <v>3.7806601197313258E-2</v>
      </c>
      <c r="Z10" s="23">
        <f t="shared" ca="1" si="7"/>
        <v>0.12624344885390221</v>
      </c>
      <c r="AA10" s="17"/>
      <c r="AB10" s="17"/>
      <c r="AC10" s="17"/>
      <c r="AD10" s="17"/>
    </row>
    <row r="11" spans="1:30" ht="20.25" customHeight="1" x14ac:dyDescent="0.2">
      <c r="A11" s="24">
        <v>1972</v>
      </c>
      <c r="B11" s="25">
        <v>1.6799999999999999E-2</v>
      </c>
      <c r="C11" s="25">
        <v>0.2114</v>
      </c>
      <c r="D11" s="25">
        <v>4.6699999999999998E-2</v>
      </c>
      <c r="E11" s="26">
        <v>0.1734</v>
      </c>
      <c r="F11" s="17"/>
      <c r="G11" s="21">
        <f t="shared" si="8"/>
        <v>1.0167999999999999</v>
      </c>
      <c r="H11" s="21">
        <f t="shared" si="8"/>
        <v>1.2114</v>
      </c>
      <c r="I11" s="21">
        <f t="shared" si="8"/>
        <v>1.0467</v>
      </c>
      <c r="J11" s="21">
        <f t="shared" si="8"/>
        <v>1.1734</v>
      </c>
      <c r="K11" s="17"/>
      <c r="L11" s="17">
        <f t="shared" ca="1" si="0"/>
        <v>41</v>
      </c>
      <c r="M11" s="17">
        <f t="shared" ca="1" si="0"/>
        <v>30</v>
      </c>
      <c r="N11" s="17">
        <f t="shared" ca="1" si="0"/>
        <v>14</v>
      </c>
      <c r="O11" s="17">
        <f t="shared" ca="1" si="0"/>
        <v>39</v>
      </c>
      <c r="P11" s="17">
        <f t="shared" ca="1" si="1"/>
        <v>124</v>
      </c>
      <c r="Q11" s="21">
        <f t="shared" ca="1" si="2"/>
        <v>0.33064516129032256</v>
      </c>
      <c r="R11" s="21">
        <f t="shared" ca="1" si="3"/>
        <v>0.24193548387096775</v>
      </c>
      <c r="S11" s="21">
        <f t="shared" ca="1" si="4"/>
        <v>0.11290322580645161</v>
      </c>
      <c r="T11" s="21">
        <f t="shared" ca="1" si="5"/>
        <v>0.31451612903225806</v>
      </c>
      <c r="U11" s="21">
        <f t="shared" ca="1" si="6"/>
        <v>1</v>
      </c>
      <c r="V11" s="22" t="str">
        <f t="shared" ca="1" si="9"/>
        <v>✅ OK</v>
      </c>
      <c r="W11" s="21"/>
      <c r="X11" s="21"/>
      <c r="Y11" s="21">
        <f t="array" aca="1" ref="Y11" ca="1">MMULT(MMULT(Q11:T11,$G$59:$J$62),TRANSPOSE(Q11:T11))</f>
        <v>4.0918104679342496E-2</v>
      </c>
      <c r="Z11" s="23">
        <f t="shared" ca="1" si="7"/>
        <v>0.11272125030244307</v>
      </c>
      <c r="AA11" s="17"/>
      <c r="AB11" s="17"/>
      <c r="AC11" s="17"/>
      <c r="AD11" s="17"/>
    </row>
    <row r="12" spans="1:30" ht="20.25" customHeight="1" x14ac:dyDescent="0.2">
      <c r="A12" s="24">
        <v>1973</v>
      </c>
      <c r="B12" s="25">
        <v>-0.23230000000000001</v>
      </c>
      <c r="C12" s="25">
        <v>-0.25</v>
      </c>
      <c r="D12" s="25">
        <v>-0.59860000000000002</v>
      </c>
      <c r="E12" s="26">
        <v>-0.1875</v>
      </c>
      <c r="F12" s="17"/>
      <c r="G12" s="21">
        <f t="shared" si="8"/>
        <v>0.76770000000000005</v>
      </c>
      <c r="H12" s="21">
        <f t="shared" si="8"/>
        <v>0.75</v>
      </c>
      <c r="I12" s="21">
        <f t="shared" si="8"/>
        <v>0.40139999999999998</v>
      </c>
      <c r="J12" s="21">
        <f t="shared" si="8"/>
        <v>0.8125</v>
      </c>
      <c r="K12" s="17"/>
      <c r="L12" s="17">
        <f t="shared" ca="1" si="0"/>
        <v>96</v>
      </c>
      <c r="M12" s="17">
        <f t="shared" ca="1" si="0"/>
        <v>94</v>
      </c>
      <c r="N12" s="17">
        <f t="shared" ca="1" si="0"/>
        <v>58</v>
      </c>
      <c r="O12" s="17">
        <f t="shared" ca="1" si="0"/>
        <v>11</v>
      </c>
      <c r="P12" s="17">
        <f t="shared" ca="1" si="1"/>
        <v>259</v>
      </c>
      <c r="Q12" s="21">
        <f t="shared" ca="1" si="2"/>
        <v>0.37065637065637064</v>
      </c>
      <c r="R12" s="21">
        <f t="shared" ca="1" si="3"/>
        <v>0.36293436293436293</v>
      </c>
      <c r="S12" s="21">
        <f t="shared" ca="1" si="4"/>
        <v>0.22393822393822393</v>
      </c>
      <c r="T12" s="21">
        <f t="shared" ca="1" si="5"/>
        <v>4.2471042471042469E-2</v>
      </c>
      <c r="U12" s="21">
        <f t="shared" ca="1" si="6"/>
        <v>1</v>
      </c>
      <c r="V12" s="22" t="str">
        <f t="shared" ca="1" si="9"/>
        <v>✅ OK</v>
      </c>
      <c r="W12" s="21"/>
      <c r="X12" s="21"/>
      <c r="Y12" s="21">
        <f t="array" aca="1" ref="Y12" ca="1">MMULT(MMULT(Q12:T12,$G$59:$J$62),TRANSPOSE(Q12:T12))</f>
        <v>5.5906618828210262E-2</v>
      </c>
      <c r="Z12" s="23">
        <f t="shared" ca="1" si="7"/>
        <v>7.7235568341438562E-2</v>
      </c>
      <c r="AA12" s="17"/>
      <c r="AB12" s="17"/>
      <c r="AC12" s="17"/>
      <c r="AD12" s="17"/>
    </row>
    <row r="13" spans="1:30" ht="20.25" customHeight="1" x14ac:dyDescent="0.2">
      <c r="A13" s="24">
        <v>1974</v>
      </c>
      <c r="B13" s="25">
        <v>-6.4299999999999996E-2</v>
      </c>
      <c r="C13" s="25">
        <v>-8.4600000000000009E-2</v>
      </c>
      <c r="D13" s="25">
        <v>-0.34520000000000001</v>
      </c>
      <c r="E13" s="26">
        <v>-0.27939999999999998</v>
      </c>
      <c r="F13" s="17"/>
      <c r="G13" s="21">
        <f t="shared" si="8"/>
        <v>0.93569999999999998</v>
      </c>
      <c r="H13" s="21">
        <f t="shared" si="8"/>
        <v>0.91539999999999999</v>
      </c>
      <c r="I13" s="21">
        <f t="shared" si="8"/>
        <v>0.65480000000000005</v>
      </c>
      <c r="J13" s="21">
        <f t="shared" si="8"/>
        <v>0.72060000000000002</v>
      </c>
      <c r="K13" s="17"/>
      <c r="L13" s="17">
        <f t="shared" ca="1" si="0"/>
        <v>19</v>
      </c>
      <c r="M13" s="17">
        <f t="shared" ca="1" si="0"/>
        <v>74</v>
      </c>
      <c r="N13" s="17">
        <f t="shared" ca="1" si="0"/>
        <v>89</v>
      </c>
      <c r="O13" s="17">
        <f t="shared" ca="1" si="0"/>
        <v>19</v>
      </c>
      <c r="P13" s="17">
        <f t="shared" ca="1" si="1"/>
        <v>201</v>
      </c>
      <c r="Q13" s="21">
        <f t="shared" ca="1" si="2"/>
        <v>9.4527363184079602E-2</v>
      </c>
      <c r="R13" s="21">
        <f t="shared" ca="1" si="3"/>
        <v>0.36815920398009949</v>
      </c>
      <c r="S13" s="21">
        <f t="shared" ca="1" si="4"/>
        <v>0.44278606965174128</v>
      </c>
      <c r="T13" s="21">
        <f t="shared" ca="1" si="5"/>
        <v>9.4527363184079602E-2</v>
      </c>
      <c r="U13" s="21">
        <f t="shared" ca="1" si="6"/>
        <v>1</v>
      </c>
      <c r="V13" s="22" t="str">
        <f t="shared" ca="1" si="9"/>
        <v>✅ OK</v>
      </c>
      <c r="W13" s="21"/>
      <c r="X13" s="21"/>
      <c r="Y13" s="21">
        <f t="array" aca="1" ref="Y13" ca="1">MMULT(MMULT(Q13:T13,$G$59:$J$62),TRANSPOSE(Q13:T13))</f>
        <v>7.1151011355647095E-2</v>
      </c>
      <c r="Z13" s="23">
        <f t="shared" ca="1" si="7"/>
        <v>8.4025817943933101E-2</v>
      </c>
      <c r="AA13" s="17"/>
      <c r="AB13" s="17"/>
      <c r="AC13" s="17"/>
      <c r="AD13" s="17"/>
    </row>
    <row r="14" spans="1:30" ht="20.25" customHeight="1" x14ac:dyDescent="0.2">
      <c r="A14" s="24">
        <v>1975</v>
      </c>
      <c r="B14" s="25">
        <v>0.75670000000000004</v>
      </c>
      <c r="C14" s="25">
        <v>0.34549999999999997</v>
      </c>
      <c r="D14" s="25">
        <v>0.94299999999999995</v>
      </c>
      <c r="E14" s="26">
        <v>0.37359999999999999</v>
      </c>
      <c r="F14" s="17"/>
      <c r="G14" s="21">
        <f t="shared" si="8"/>
        <v>1.7566999999999999</v>
      </c>
      <c r="H14" s="21">
        <f t="shared" si="8"/>
        <v>1.3454999999999999</v>
      </c>
      <c r="I14" s="21">
        <f t="shared" si="8"/>
        <v>1.9430000000000001</v>
      </c>
      <c r="J14" s="21">
        <f t="shared" si="8"/>
        <v>1.3735999999999999</v>
      </c>
      <c r="K14" s="17"/>
      <c r="L14" s="17">
        <f t="shared" ca="1" si="0"/>
        <v>19</v>
      </c>
      <c r="M14" s="17">
        <f t="shared" ca="1" si="0"/>
        <v>94</v>
      </c>
      <c r="N14" s="17">
        <f t="shared" ca="1" si="0"/>
        <v>93</v>
      </c>
      <c r="O14" s="17">
        <f t="shared" ca="1" si="0"/>
        <v>58</v>
      </c>
      <c r="P14" s="17">
        <f t="shared" ca="1" si="1"/>
        <v>264</v>
      </c>
      <c r="Q14" s="21">
        <f t="shared" ca="1" si="2"/>
        <v>7.1969696969696975E-2</v>
      </c>
      <c r="R14" s="21">
        <f t="shared" ca="1" si="3"/>
        <v>0.35606060606060608</v>
      </c>
      <c r="S14" s="21">
        <f t="shared" ca="1" si="4"/>
        <v>0.35227272727272729</v>
      </c>
      <c r="T14" s="21">
        <f t="shared" ca="1" si="5"/>
        <v>0.2196969696969697</v>
      </c>
      <c r="U14" s="21">
        <f t="shared" ca="1" si="6"/>
        <v>1</v>
      </c>
      <c r="V14" s="22" t="str">
        <f t="shared" ca="1" si="9"/>
        <v>✅ OK</v>
      </c>
      <c r="W14" s="21"/>
      <c r="X14" s="21"/>
      <c r="Y14" s="21">
        <f t="array" aca="1" ref="Y14" ca="1">MMULT(MMULT(Q14:T14,$G$59:$J$62),TRANSPOSE(Q14:T14))</f>
        <v>5.9495818401935047E-2</v>
      </c>
      <c r="Z14" s="23">
        <f t="shared" ca="1" si="7"/>
        <v>0.10035299703048139</v>
      </c>
      <c r="AA14" s="17"/>
      <c r="AB14" s="17"/>
      <c r="AC14" s="17"/>
      <c r="AD14" s="17"/>
    </row>
    <row r="15" spans="1:30" ht="20.25" customHeight="1" x14ac:dyDescent="0.2">
      <c r="A15" s="24">
        <v>1976</v>
      </c>
      <c r="B15" s="25">
        <v>0.27539999999999998</v>
      </c>
      <c r="C15" s="25">
        <v>0.11119999999999999</v>
      </c>
      <c r="D15" s="25">
        <v>0.62890000000000001</v>
      </c>
      <c r="E15" s="26">
        <v>0.2676</v>
      </c>
      <c r="F15" s="17"/>
      <c r="G15" s="21">
        <f t="shared" si="8"/>
        <v>1.2753999999999999</v>
      </c>
      <c r="H15" s="21">
        <f t="shared" si="8"/>
        <v>1.1112</v>
      </c>
      <c r="I15" s="21">
        <f t="shared" si="8"/>
        <v>1.6289</v>
      </c>
      <c r="J15" s="21">
        <f t="shared" si="8"/>
        <v>1.2676000000000001</v>
      </c>
      <c r="K15" s="17"/>
      <c r="L15" s="17">
        <f t="shared" ca="1" si="0"/>
        <v>92</v>
      </c>
      <c r="M15" s="17">
        <f t="shared" ca="1" si="0"/>
        <v>43</v>
      </c>
      <c r="N15" s="17">
        <f t="shared" ca="1" si="0"/>
        <v>67</v>
      </c>
      <c r="O15" s="17">
        <f t="shared" ca="1" si="0"/>
        <v>61</v>
      </c>
      <c r="P15" s="17">
        <f t="shared" ca="1" si="1"/>
        <v>263</v>
      </c>
      <c r="Q15" s="21">
        <f t="shared" ca="1" si="2"/>
        <v>0.34980988593155893</v>
      </c>
      <c r="R15" s="21">
        <f t="shared" ca="1" si="3"/>
        <v>0.1634980988593156</v>
      </c>
      <c r="S15" s="21">
        <f t="shared" ca="1" si="4"/>
        <v>0.25475285171102663</v>
      </c>
      <c r="T15" s="21">
        <f t="shared" ca="1" si="5"/>
        <v>0.23193916349809887</v>
      </c>
      <c r="U15" s="21">
        <f t="shared" ca="1" si="6"/>
        <v>1.0000000000000002</v>
      </c>
      <c r="V15" s="22" t="str">
        <f t="shared" ca="1" si="9"/>
        <v>✅ OK</v>
      </c>
      <c r="W15" s="21"/>
      <c r="X15" s="21"/>
      <c r="Y15" s="21">
        <f t="array" aca="1" ref="Y15" ca="1">MMULT(MMULT(Q15:T15,$G$59:$J$62),TRANSPOSE(Q15:T15))</f>
        <v>5.2682323337694084E-2</v>
      </c>
      <c r="Z15" s="23">
        <f t="shared" ca="1" si="7"/>
        <v>0.10194987422912213</v>
      </c>
      <c r="AA15" s="17"/>
      <c r="AB15" s="17"/>
      <c r="AC15" s="17"/>
      <c r="AD15" s="17"/>
    </row>
    <row r="16" spans="1:30" ht="20.25" customHeight="1" x14ac:dyDescent="0.2">
      <c r="A16" s="24">
        <v>1977</v>
      </c>
      <c r="B16" s="25">
        <v>0.1265</v>
      </c>
      <c r="C16" s="25">
        <v>0.35549999999999998</v>
      </c>
      <c r="D16" s="25">
        <v>6.0199999999999997E-2</v>
      </c>
      <c r="E16" s="26">
        <v>-2.9700000000000001E-2</v>
      </c>
      <c r="F16" s="17"/>
      <c r="G16" s="21">
        <f t="shared" si="8"/>
        <v>1.1265000000000001</v>
      </c>
      <c r="H16" s="21">
        <f t="shared" si="8"/>
        <v>1.3554999999999999</v>
      </c>
      <c r="I16" s="21">
        <f t="shared" si="8"/>
        <v>1.0602</v>
      </c>
      <c r="J16" s="21">
        <f t="shared" si="8"/>
        <v>0.97030000000000005</v>
      </c>
      <c r="K16" s="17"/>
      <c r="L16" s="17">
        <f t="shared" ca="1" si="0"/>
        <v>86</v>
      </c>
      <c r="M16" s="17">
        <f t="shared" ca="1" si="0"/>
        <v>7</v>
      </c>
      <c r="N16" s="17">
        <f t="shared" ca="1" si="0"/>
        <v>68</v>
      </c>
      <c r="O16" s="17">
        <f t="shared" ca="1" si="0"/>
        <v>24</v>
      </c>
      <c r="P16" s="17">
        <f t="shared" ca="1" si="1"/>
        <v>185</v>
      </c>
      <c r="Q16" s="21">
        <f t="shared" ca="1" si="2"/>
        <v>0.46486486486486489</v>
      </c>
      <c r="R16" s="21">
        <f t="shared" ca="1" si="3"/>
        <v>3.783783783783784E-2</v>
      </c>
      <c r="S16" s="21">
        <f t="shared" ca="1" si="4"/>
        <v>0.36756756756756759</v>
      </c>
      <c r="T16" s="21">
        <f t="shared" ca="1" si="5"/>
        <v>0.12972972972972974</v>
      </c>
      <c r="U16" s="21">
        <f t="shared" ca="1" si="6"/>
        <v>1</v>
      </c>
      <c r="V16" s="22" t="str">
        <f t="shared" ca="1" si="9"/>
        <v>✅ OK</v>
      </c>
      <c r="W16" s="21"/>
      <c r="X16" s="21"/>
      <c r="Y16" s="21">
        <f t="array" aca="1" ref="Y16" ca="1">MMULT(MMULT(Q16:T16,$G$59:$J$62),TRANSPOSE(Q16:T16))</f>
        <v>6.7938696047287125E-2</v>
      </c>
      <c r="Z16" s="23">
        <f t="shared" ca="1" si="7"/>
        <v>8.861763027660155E-2</v>
      </c>
      <c r="AA16" s="17"/>
      <c r="AB16" s="17"/>
      <c r="AC16" s="17"/>
      <c r="AD16" s="17"/>
    </row>
    <row r="17" spans="1:30" ht="20.25" customHeight="1" x14ac:dyDescent="0.2">
      <c r="A17" s="24">
        <v>1978</v>
      </c>
      <c r="B17" s="25">
        <v>0.19819999999999999</v>
      </c>
      <c r="C17" s="25">
        <v>0.43619999999999998</v>
      </c>
      <c r="D17" s="25">
        <v>9.4700000000000006E-2</v>
      </c>
      <c r="E17" s="26">
        <v>8.5500000000000007E-2</v>
      </c>
      <c r="F17" s="17"/>
      <c r="G17" s="21">
        <f t="shared" si="8"/>
        <v>1.1981999999999999</v>
      </c>
      <c r="H17" s="21">
        <f t="shared" si="8"/>
        <v>1.4361999999999999</v>
      </c>
      <c r="I17" s="21">
        <f t="shared" si="8"/>
        <v>1.0947</v>
      </c>
      <c r="J17" s="21">
        <f t="shared" si="8"/>
        <v>1.0854999999999999</v>
      </c>
      <c r="K17" s="17"/>
      <c r="L17" s="17">
        <f t="shared" ca="1" si="0"/>
        <v>9</v>
      </c>
      <c r="M17" s="17">
        <f t="shared" ca="1" si="0"/>
        <v>75</v>
      </c>
      <c r="N17" s="17">
        <f t="shared" ca="1" si="0"/>
        <v>46</v>
      </c>
      <c r="O17" s="17">
        <f t="shared" ca="1" si="0"/>
        <v>28</v>
      </c>
      <c r="P17" s="17">
        <f t="shared" ca="1" si="1"/>
        <v>158</v>
      </c>
      <c r="Q17" s="21">
        <f t="shared" ca="1" si="2"/>
        <v>5.6962025316455694E-2</v>
      </c>
      <c r="R17" s="21">
        <f t="shared" ca="1" si="3"/>
        <v>0.47468354430379744</v>
      </c>
      <c r="S17" s="21">
        <f t="shared" ca="1" si="4"/>
        <v>0.29113924050632911</v>
      </c>
      <c r="T17" s="21">
        <f t="shared" ca="1" si="5"/>
        <v>0.17721518987341772</v>
      </c>
      <c r="U17" s="21">
        <f t="shared" ca="1" si="6"/>
        <v>1</v>
      </c>
      <c r="V17" s="22" t="str">
        <f t="shared" ca="1" si="9"/>
        <v>✅ OK</v>
      </c>
      <c r="W17" s="21"/>
      <c r="X17" s="21"/>
      <c r="Y17" s="21">
        <f t="array" aca="1" ref="Y17" ca="1">MMULT(MMULT(Q17:T17,$G$59:$J$62),TRANSPOSE(Q17:T17))</f>
        <v>5.7387237418007858E-2</v>
      </c>
      <c r="Z17" s="23">
        <f t="shared" ca="1" si="7"/>
        <v>9.4811654795591338E-2</v>
      </c>
      <c r="AA17" s="17"/>
      <c r="AB17" s="17"/>
      <c r="AC17" s="17"/>
      <c r="AD17" s="17"/>
    </row>
    <row r="18" spans="1:30" ht="20.25" customHeight="1" x14ac:dyDescent="0.2">
      <c r="A18" s="24">
        <v>1979</v>
      </c>
      <c r="B18" s="25">
        <v>0.28029999999999999</v>
      </c>
      <c r="C18" s="25">
        <v>0.47749999999999998</v>
      </c>
      <c r="D18" s="25">
        <v>0.15279999999999999</v>
      </c>
      <c r="E18" s="26">
        <v>0.24410000000000001</v>
      </c>
      <c r="F18" s="17"/>
      <c r="G18" s="21">
        <f t="shared" si="8"/>
        <v>1.2803</v>
      </c>
      <c r="H18" s="21">
        <f t="shared" si="8"/>
        <v>1.4775</v>
      </c>
      <c r="I18" s="21">
        <f t="shared" si="8"/>
        <v>1.1528</v>
      </c>
      <c r="J18" s="21">
        <f t="shared" si="8"/>
        <v>1.2441</v>
      </c>
      <c r="K18" s="17"/>
      <c r="L18" s="17">
        <f t="shared" ref="L18:O33" ca="1" si="10">RANDBETWEEN(0,100)</f>
        <v>59</v>
      </c>
      <c r="M18" s="17">
        <f t="shared" ca="1" si="10"/>
        <v>13</v>
      </c>
      <c r="N18" s="17">
        <f t="shared" ca="1" si="10"/>
        <v>45</v>
      </c>
      <c r="O18" s="17">
        <f t="shared" ca="1" si="10"/>
        <v>43</v>
      </c>
      <c r="P18" s="17">
        <f t="shared" ca="1" si="1"/>
        <v>160</v>
      </c>
      <c r="Q18" s="21">
        <f t="shared" ca="1" si="2"/>
        <v>0.36875000000000002</v>
      </c>
      <c r="R18" s="21">
        <f t="shared" ca="1" si="3"/>
        <v>8.1250000000000003E-2</v>
      </c>
      <c r="S18" s="21">
        <f t="shared" ca="1" si="4"/>
        <v>0.28125</v>
      </c>
      <c r="T18" s="21">
        <f t="shared" ca="1" si="5"/>
        <v>0.26874999999999999</v>
      </c>
      <c r="U18" s="21">
        <f t="shared" ca="1" si="6"/>
        <v>1</v>
      </c>
      <c r="V18" s="22" t="str">
        <f t="shared" ca="1" si="9"/>
        <v>✅ OK</v>
      </c>
      <c r="W18" s="21"/>
      <c r="X18" s="21"/>
      <c r="Y18" s="21">
        <f t="array" aca="1" ref="Y18" ca="1">MMULT(MMULT(Q18:T18,$G$59:$J$62),TRANSPOSE(Q18:T18))</f>
        <v>5.4824623038572003E-2</v>
      </c>
      <c r="Z18" s="23">
        <f t="shared" ca="1" si="7"/>
        <v>0.1067514960975291</v>
      </c>
      <c r="AA18" s="17"/>
      <c r="AB18" s="17"/>
      <c r="AC18" s="17"/>
      <c r="AD18" s="17"/>
    </row>
    <row r="19" spans="1:30" ht="20.25" customHeight="1" x14ac:dyDescent="0.2">
      <c r="A19" s="24">
        <v>1980</v>
      </c>
      <c r="B19" s="25">
        <v>0.19170000000000001</v>
      </c>
      <c r="C19" s="25">
        <v>0.49090000000000011</v>
      </c>
      <c r="D19" s="25">
        <v>0.33550000000000002</v>
      </c>
      <c r="E19" s="26">
        <v>0.33239999999999997</v>
      </c>
      <c r="F19" s="17"/>
      <c r="G19" s="21">
        <f t="shared" ref="G19:J34" si="11">(B19)+1</f>
        <v>1.1917</v>
      </c>
      <c r="H19" s="21">
        <f t="shared" si="11"/>
        <v>1.4909000000000001</v>
      </c>
      <c r="I19" s="21">
        <f t="shared" si="11"/>
        <v>1.3355000000000001</v>
      </c>
      <c r="J19" s="21">
        <f t="shared" si="11"/>
        <v>1.3324</v>
      </c>
      <c r="K19" s="17"/>
      <c r="L19" s="17">
        <f t="shared" ca="1" si="10"/>
        <v>2</v>
      </c>
      <c r="M19" s="17">
        <f t="shared" ca="1" si="10"/>
        <v>46</v>
      </c>
      <c r="N19" s="17">
        <f t="shared" ca="1" si="10"/>
        <v>29</v>
      </c>
      <c r="O19" s="17">
        <f t="shared" ca="1" si="10"/>
        <v>33</v>
      </c>
      <c r="P19" s="17">
        <f t="shared" ca="1" si="1"/>
        <v>110</v>
      </c>
      <c r="Q19" s="21">
        <f t="shared" ca="1" si="2"/>
        <v>1.8181818181818181E-2</v>
      </c>
      <c r="R19" s="21">
        <f t="shared" ca="1" si="3"/>
        <v>0.41818181818181815</v>
      </c>
      <c r="S19" s="21">
        <f t="shared" ca="1" si="4"/>
        <v>0.26363636363636361</v>
      </c>
      <c r="T19" s="21">
        <f t="shared" ca="1" si="5"/>
        <v>0.3</v>
      </c>
      <c r="U19" s="21">
        <f t="shared" ca="1" si="6"/>
        <v>1</v>
      </c>
      <c r="V19" s="22" t="str">
        <f t="shared" ca="1" si="9"/>
        <v>✅ OK</v>
      </c>
      <c r="W19" s="21"/>
      <c r="X19" s="21"/>
      <c r="Y19" s="21">
        <f t="array" aca="1" ref="Y19" ca="1">MMULT(MMULT(Q19:T19,$G$59:$J$62),TRANSPOSE(Q19:T19))</f>
        <v>5.1627760418756101E-2</v>
      </c>
      <c r="Z19" s="23">
        <f t="shared" ca="1" si="7"/>
        <v>0.11082775998194172</v>
      </c>
      <c r="AA19" s="17"/>
      <c r="AB19" s="17"/>
      <c r="AC19" s="17"/>
      <c r="AD19" s="17"/>
    </row>
    <row r="20" spans="1:30" ht="20.25" customHeight="1" x14ac:dyDescent="0.2">
      <c r="A20" s="24">
        <v>1981</v>
      </c>
      <c r="B20" s="25">
        <v>0.1226</v>
      </c>
      <c r="C20" s="25">
        <v>2.7900000000000001E-2</v>
      </c>
      <c r="D20" s="25">
        <v>0.1172</v>
      </c>
      <c r="E20" s="26">
        <v>-3.9800000000000002E-2</v>
      </c>
      <c r="F20" s="17"/>
      <c r="G20" s="21">
        <f t="shared" si="11"/>
        <v>1.1226</v>
      </c>
      <c r="H20" s="21">
        <f t="shared" si="11"/>
        <v>1.0279</v>
      </c>
      <c r="I20" s="21">
        <f t="shared" si="11"/>
        <v>1.1172</v>
      </c>
      <c r="J20" s="21">
        <f t="shared" si="11"/>
        <v>0.96019999999999994</v>
      </c>
      <c r="K20" s="17"/>
      <c r="L20" s="17">
        <f t="shared" ca="1" si="10"/>
        <v>69</v>
      </c>
      <c r="M20" s="17">
        <f t="shared" ca="1" si="10"/>
        <v>100</v>
      </c>
      <c r="N20" s="17">
        <f t="shared" ca="1" si="10"/>
        <v>58</v>
      </c>
      <c r="O20" s="17">
        <f t="shared" ca="1" si="10"/>
        <v>86</v>
      </c>
      <c r="P20" s="17">
        <f t="shared" ca="1" si="1"/>
        <v>313</v>
      </c>
      <c r="Q20" s="21">
        <f t="shared" ca="1" si="2"/>
        <v>0.22044728434504793</v>
      </c>
      <c r="R20" s="21">
        <f t="shared" ca="1" si="3"/>
        <v>0.31948881789137379</v>
      </c>
      <c r="S20" s="21">
        <f t="shared" ca="1" si="4"/>
        <v>0.1853035143769968</v>
      </c>
      <c r="T20" s="21">
        <f t="shared" ca="1" si="5"/>
        <v>0.27476038338658149</v>
      </c>
      <c r="U20" s="21">
        <f t="shared" ca="1" si="6"/>
        <v>1</v>
      </c>
      <c r="V20" s="22" t="str">
        <f t="shared" ca="1" si="9"/>
        <v>✅ OK</v>
      </c>
      <c r="W20" s="21"/>
      <c r="X20" s="21"/>
      <c r="Y20" s="21">
        <f t="array" aca="1" ref="Y20" ca="1">MMULT(MMULT(Q20:T20,$G$59:$J$62),TRANSPOSE(Q20:T20))</f>
        <v>4.6120709455859638E-2</v>
      </c>
      <c r="Z20" s="23">
        <f t="shared" ca="1" si="7"/>
        <v>0.10753549317689536</v>
      </c>
      <c r="AA20" s="17"/>
      <c r="AB20" s="17"/>
      <c r="AC20" s="17"/>
      <c r="AD20" s="17"/>
    </row>
    <row r="21" spans="1:30" ht="20.25" customHeight="1" x14ac:dyDescent="0.2">
      <c r="A21" s="24">
        <v>1982</v>
      </c>
      <c r="B21" s="25">
        <v>0.46529999999999999</v>
      </c>
      <c r="C21" s="25">
        <v>0.30659999999999998</v>
      </c>
      <c r="D21" s="25">
        <v>0.4194</v>
      </c>
      <c r="E21" s="26">
        <v>0.20419999999999999</v>
      </c>
      <c r="F21" s="17"/>
      <c r="G21" s="21">
        <f t="shared" si="11"/>
        <v>1.4653</v>
      </c>
      <c r="H21" s="21">
        <f t="shared" si="11"/>
        <v>1.3066</v>
      </c>
      <c r="I21" s="21">
        <f t="shared" si="11"/>
        <v>1.4194</v>
      </c>
      <c r="J21" s="21">
        <f t="shared" si="11"/>
        <v>1.2041999999999999</v>
      </c>
      <c r="K21" s="17"/>
      <c r="L21" s="17">
        <f t="shared" ca="1" si="10"/>
        <v>80</v>
      </c>
      <c r="M21" s="17">
        <f t="shared" ca="1" si="10"/>
        <v>73</v>
      </c>
      <c r="N21" s="17">
        <f t="shared" ca="1" si="10"/>
        <v>72</v>
      </c>
      <c r="O21" s="17">
        <f t="shared" ca="1" si="10"/>
        <v>95</v>
      </c>
      <c r="P21" s="17">
        <f t="shared" ca="1" si="1"/>
        <v>320</v>
      </c>
      <c r="Q21" s="21">
        <f t="shared" ca="1" si="2"/>
        <v>0.25</v>
      </c>
      <c r="R21" s="21">
        <f t="shared" ca="1" si="3"/>
        <v>0.22812499999999999</v>
      </c>
      <c r="S21" s="21">
        <f t="shared" ca="1" si="4"/>
        <v>0.22500000000000001</v>
      </c>
      <c r="T21" s="21">
        <f t="shared" ca="1" si="5"/>
        <v>0.296875</v>
      </c>
      <c r="U21" s="21">
        <f t="shared" ca="1" si="6"/>
        <v>1</v>
      </c>
      <c r="V21" s="22" t="str">
        <f t="shared" ca="1" si="9"/>
        <v>✅ OK</v>
      </c>
      <c r="W21" s="21"/>
      <c r="X21" s="21"/>
      <c r="Y21" s="21">
        <f t="array" aca="1" ref="Y21" ca="1">MMULT(MMULT(Q21:T21,$G$59:$J$62),TRANSPOSE(Q21:T21))</f>
        <v>4.8131570499855919E-2</v>
      </c>
      <c r="Z21" s="23">
        <f t="shared" ca="1" si="7"/>
        <v>0.11042013359350046</v>
      </c>
      <c r="AA21" s="17"/>
      <c r="AB21" s="17"/>
      <c r="AC21" s="17"/>
      <c r="AD21" s="17"/>
    </row>
    <row r="22" spans="1:30" ht="20.25" customHeight="1" x14ac:dyDescent="0.2">
      <c r="A22" s="24">
        <v>1983</v>
      </c>
      <c r="B22" s="25">
        <v>0.39179999999999998</v>
      </c>
      <c r="C22" s="25">
        <v>0.17879999999999999</v>
      </c>
      <c r="D22" s="25">
        <v>0.49659999999999999</v>
      </c>
      <c r="E22" s="26">
        <v>0.22650000000000001</v>
      </c>
      <c r="F22" s="17"/>
      <c r="G22" s="21">
        <f t="shared" si="11"/>
        <v>1.3917999999999999</v>
      </c>
      <c r="H22" s="21">
        <f t="shared" si="11"/>
        <v>1.1788000000000001</v>
      </c>
      <c r="I22" s="21">
        <f t="shared" si="11"/>
        <v>1.4965999999999999</v>
      </c>
      <c r="J22" s="21">
        <f t="shared" si="11"/>
        <v>1.2264999999999999</v>
      </c>
      <c r="K22" s="17"/>
      <c r="L22" s="17">
        <f t="shared" ca="1" si="10"/>
        <v>20</v>
      </c>
      <c r="M22" s="17">
        <f t="shared" ca="1" si="10"/>
        <v>11</v>
      </c>
      <c r="N22" s="17">
        <f t="shared" ca="1" si="10"/>
        <v>84</v>
      </c>
      <c r="O22" s="17">
        <f t="shared" ca="1" si="10"/>
        <v>24</v>
      </c>
      <c r="P22" s="17">
        <f t="shared" ca="1" si="1"/>
        <v>139</v>
      </c>
      <c r="Q22" s="21">
        <f t="shared" ca="1" si="2"/>
        <v>0.14388489208633093</v>
      </c>
      <c r="R22" s="21">
        <f t="shared" ca="1" si="3"/>
        <v>7.9136690647482008E-2</v>
      </c>
      <c r="S22" s="21">
        <f t="shared" ca="1" si="4"/>
        <v>0.60431654676258995</v>
      </c>
      <c r="T22" s="21">
        <f t="shared" ca="1" si="5"/>
        <v>0.17266187050359713</v>
      </c>
      <c r="U22" s="21">
        <f t="shared" ca="1" si="6"/>
        <v>1</v>
      </c>
      <c r="V22" s="22" t="str">
        <f t="shared" ca="1" si="9"/>
        <v>✅ OK</v>
      </c>
      <c r="W22" s="21"/>
      <c r="X22" s="21"/>
      <c r="Y22" s="21">
        <f t="array" aca="1" ref="Y22" ca="1">MMULT(MMULT(Q22:T22,$G$59:$J$62),TRANSPOSE(Q22:T22))</f>
        <v>8.7160110987212325E-2</v>
      </c>
      <c r="Z22" s="23">
        <f t="shared" ca="1" si="7"/>
        <v>9.4217717793946665E-2</v>
      </c>
      <c r="AA22" s="17"/>
      <c r="AB22" s="17"/>
      <c r="AC22" s="17"/>
      <c r="AD22" s="17"/>
    </row>
    <row r="23" spans="1:30" ht="20.25" customHeight="1" x14ac:dyDescent="0.2">
      <c r="A23" s="24">
        <v>1984</v>
      </c>
      <c r="B23" s="25">
        <v>7.4099999999999999E-2</v>
      </c>
      <c r="C23" s="25">
        <v>-9.0800000000000006E-2</v>
      </c>
      <c r="D23" s="25">
        <v>-7.5800000000000006E-2</v>
      </c>
      <c r="E23" s="26">
        <v>3.1600000000000003E-2</v>
      </c>
      <c r="F23" s="17"/>
      <c r="G23" s="21">
        <f t="shared" si="11"/>
        <v>1.0741000000000001</v>
      </c>
      <c r="H23" s="21">
        <f t="shared" si="11"/>
        <v>0.90920000000000001</v>
      </c>
      <c r="I23" s="21">
        <f t="shared" si="11"/>
        <v>0.92420000000000002</v>
      </c>
      <c r="J23" s="21">
        <f t="shared" si="11"/>
        <v>1.0316000000000001</v>
      </c>
      <c r="K23" s="17"/>
      <c r="L23" s="17">
        <f t="shared" ca="1" si="10"/>
        <v>89</v>
      </c>
      <c r="M23" s="17">
        <f t="shared" ca="1" si="10"/>
        <v>82</v>
      </c>
      <c r="N23" s="17">
        <f t="shared" ca="1" si="10"/>
        <v>70</v>
      </c>
      <c r="O23" s="17">
        <f t="shared" ca="1" si="10"/>
        <v>83</v>
      </c>
      <c r="P23" s="17">
        <f t="shared" ca="1" si="1"/>
        <v>324</v>
      </c>
      <c r="Q23" s="21">
        <f t="shared" ca="1" si="2"/>
        <v>0.27469135802469136</v>
      </c>
      <c r="R23" s="21">
        <f t="shared" ca="1" si="3"/>
        <v>0.25308641975308643</v>
      </c>
      <c r="S23" s="21">
        <f t="shared" ca="1" si="4"/>
        <v>0.21604938271604937</v>
      </c>
      <c r="T23" s="21">
        <f t="shared" ca="1" si="5"/>
        <v>0.25617283950617287</v>
      </c>
      <c r="U23" s="21">
        <f t="shared" ca="1" si="6"/>
        <v>1</v>
      </c>
      <c r="V23" s="22" t="str">
        <f t="shared" ca="1" si="9"/>
        <v>✅ OK</v>
      </c>
      <c r="W23" s="21"/>
      <c r="X23" s="21"/>
      <c r="Y23" s="21">
        <f t="array" aca="1" ref="Y23" ca="1">MMULT(MMULT(Q23:T23,$G$59:$J$62),TRANSPOSE(Q23:T23))</f>
        <v>4.8546462576463216E-2</v>
      </c>
      <c r="Z23" s="23">
        <f t="shared" ca="1" si="7"/>
        <v>0.10511092569466673</v>
      </c>
      <c r="AA23" s="17"/>
      <c r="AB23" s="17"/>
      <c r="AC23" s="17"/>
      <c r="AD23" s="17"/>
    </row>
    <row r="24" spans="1:30" ht="20.25" customHeight="1" x14ac:dyDescent="0.2">
      <c r="A24" s="24">
        <v>1985</v>
      </c>
      <c r="B24" s="25">
        <v>0.373</v>
      </c>
      <c r="C24" s="25">
        <v>-2.0199999999999999E-2</v>
      </c>
      <c r="D24" s="25">
        <v>0.26989999999999997</v>
      </c>
      <c r="E24" s="26">
        <v>0.31409999999999999</v>
      </c>
      <c r="F24" s="17"/>
      <c r="G24" s="21">
        <f t="shared" si="11"/>
        <v>1.373</v>
      </c>
      <c r="H24" s="21">
        <f t="shared" si="11"/>
        <v>0.9798</v>
      </c>
      <c r="I24" s="21">
        <f t="shared" si="11"/>
        <v>1.2699</v>
      </c>
      <c r="J24" s="21">
        <f t="shared" si="11"/>
        <v>1.3141</v>
      </c>
      <c r="K24" s="17"/>
      <c r="L24" s="17">
        <f t="shared" ca="1" si="10"/>
        <v>71</v>
      </c>
      <c r="M24" s="17">
        <f t="shared" ca="1" si="10"/>
        <v>79</v>
      </c>
      <c r="N24" s="17">
        <f t="shared" ca="1" si="10"/>
        <v>1</v>
      </c>
      <c r="O24" s="17">
        <f t="shared" ca="1" si="10"/>
        <v>29</v>
      </c>
      <c r="P24" s="17">
        <f t="shared" ca="1" si="1"/>
        <v>180</v>
      </c>
      <c r="Q24" s="21">
        <f t="shared" ca="1" si="2"/>
        <v>0.39444444444444443</v>
      </c>
      <c r="R24" s="21">
        <f t="shared" ca="1" si="3"/>
        <v>0.43888888888888888</v>
      </c>
      <c r="S24" s="21">
        <f t="shared" ca="1" si="4"/>
        <v>5.5555555555555558E-3</v>
      </c>
      <c r="T24" s="21">
        <f t="shared" ca="1" si="5"/>
        <v>0.16111111111111112</v>
      </c>
      <c r="U24" s="21">
        <f t="shared" ca="1" si="6"/>
        <v>0.99999999999999989</v>
      </c>
      <c r="V24" s="22" t="str">
        <f t="shared" ca="1" si="9"/>
        <v>✅ OK</v>
      </c>
      <c r="W24" s="21"/>
      <c r="X24" s="21"/>
      <c r="Y24" s="21">
        <f t="array" aca="1" ref="Y24" ca="1">MMULT(MMULT(Q24:T24,$G$59:$J$62),TRANSPOSE(Q24:T24))</f>
        <v>4.0580117474592697E-2</v>
      </c>
      <c r="Z24" s="23">
        <f t="shared" ca="1" si="7"/>
        <v>9.2711031606774463E-2</v>
      </c>
      <c r="AA24" s="17"/>
      <c r="AB24" s="17"/>
      <c r="AC24" s="17"/>
      <c r="AD24" s="17"/>
    </row>
    <row r="25" spans="1:30" ht="20.25" customHeight="1" x14ac:dyDescent="0.2">
      <c r="A25" s="24">
        <v>1986</v>
      </c>
      <c r="B25" s="25">
        <v>0.1779</v>
      </c>
      <c r="C25" s="25">
        <v>-0.18149999999999999</v>
      </c>
      <c r="D25" s="25">
        <v>4.0599999999999997E-2</v>
      </c>
      <c r="E25" s="26">
        <v>0.15559999999999999</v>
      </c>
      <c r="F25" s="17"/>
      <c r="G25" s="21">
        <f t="shared" si="11"/>
        <v>1.1778999999999999</v>
      </c>
      <c r="H25" s="21">
        <f t="shared" si="11"/>
        <v>0.81850000000000001</v>
      </c>
      <c r="I25" s="21">
        <f t="shared" si="11"/>
        <v>1.0406</v>
      </c>
      <c r="J25" s="21">
        <f t="shared" si="11"/>
        <v>1.1556</v>
      </c>
      <c r="K25" s="17"/>
      <c r="L25" s="17">
        <f t="shared" ca="1" si="10"/>
        <v>83</v>
      </c>
      <c r="M25" s="17">
        <f t="shared" ca="1" si="10"/>
        <v>26</v>
      </c>
      <c r="N25" s="17">
        <f t="shared" ca="1" si="10"/>
        <v>35</v>
      </c>
      <c r="O25" s="17">
        <f t="shared" ca="1" si="10"/>
        <v>15</v>
      </c>
      <c r="P25" s="17">
        <f t="shared" ca="1" si="1"/>
        <v>159</v>
      </c>
      <c r="Q25" s="21">
        <f t="shared" ca="1" si="2"/>
        <v>0.5220125786163522</v>
      </c>
      <c r="R25" s="21">
        <f t="shared" ca="1" si="3"/>
        <v>0.16352201257861634</v>
      </c>
      <c r="S25" s="21">
        <f t="shared" ca="1" si="4"/>
        <v>0.22012578616352202</v>
      </c>
      <c r="T25" s="21">
        <f t="shared" ca="1" si="5"/>
        <v>9.4339622641509441E-2</v>
      </c>
      <c r="U25" s="21">
        <f t="shared" ca="1" si="6"/>
        <v>1</v>
      </c>
      <c r="V25" s="22" t="str">
        <f t="shared" ca="1" si="9"/>
        <v>✅ OK</v>
      </c>
      <c r="W25" s="21"/>
      <c r="X25" s="21"/>
      <c r="Y25" s="21">
        <f t="array" aca="1" ref="Y25" ca="1">MMULT(MMULT(Q25:T25,$G$59:$J$62),TRANSPOSE(Q25:T25))</f>
        <v>5.5343429403035514E-2</v>
      </c>
      <c r="Z25" s="23">
        <f t="shared" ca="1" si="7"/>
        <v>8.4001328984146903E-2</v>
      </c>
      <c r="AA25" s="17"/>
      <c r="AB25" s="17"/>
      <c r="AC25" s="17"/>
      <c r="AD25" s="17"/>
    </row>
    <row r="26" spans="1:30" ht="20.25" customHeight="1" x14ac:dyDescent="0.2">
      <c r="A26" s="24">
        <v>1987</v>
      </c>
      <c r="B26" s="25">
        <v>-3.5900000000000001E-2</v>
      </c>
      <c r="C26" s="25">
        <v>-0.17430000000000001</v>
      </c>
      <c r="D26" s="25">
        <v>-0.19850000000000001</v>
      </c>
      <c r="E26" s="26">
        <v>1.83E-2</v>
      </c>
      <c r="F26" s="17"/>
      <c r="G26" s="21">
        <f t="shared" si="11"/>
        <v>0.96409999999999996</v>
      </c>
      <c r="H26" s="21">
        <f t="shared" si="11"/>
        <v>0.82569999999999999</v>
      </c>
      <c r="I26" s="21">
        <f t="shared" si="11"/>
        <v>0.80149999999999999</v>
      </c>
      <c r="J26" s="21">
        <f t="shared" si="11"/>
        <v>1.0183</v>
      </c>
      <c r="K26" s="17"/>
      <c r="L26" s="17">
        <f t="shared" ca="1" si="10"/>
        <v>65</v>
      </c>
      <c r="M26" s="17">
        <f t="shared" ca="1" si="10"/>
        <v>75</v>
      </c>
      <c r="N26" s="17">
        <f t="shared" ca="1" si="10"/>
        <v>55</v>
      </c>
      <c r="O26" s="17">
        <f t="shared" ca="1" si="10"/>
        <v>80</v>
      </c>
      <c r="P26" s="17">
        <f t="shared" ca="1" si="1"/>
        <v>275</v>
      </c>
      <c r="Q26" s="21">
        <f t="shared" ca="1" si="2"/>
        <v>0.23636363636363636</v>
      </c>
      <c r="R26" s="21">
        <f t="shared" ca="1" si="3"/>
        <v>0.27272727272727271</v>
      </c>
      <c r="S26" s="21">
        <f t="shared" ca="1" si="4"/>
        <v>0.2</v>
      </c>
      <c r="T26" s="21">
        <f t="shared" ca="1" si="5"/>
        <v>0.29090909090909089</v>
      </c>
      <c r="U26" s="21">
        <f t="shared" ca="1" si="6"/>
        <v>0.99999999999999989</v>
      </c>
      <c r="V26" s="22" t="str">
        <f t="shared" ca="1" si="9"/>
        <v>✅ OK</v>
      </c>
      <c r="W26" s="21"/>
      <c r="X26" s="21"/>
      <c r="Y26" s="21">
        <f t="array" aca="1" ref="Y26" ca="1">MMULT(MMULT(Q26:T26,$G$59:$J$62),TRANSPOSE(Q26:T26))</f>
        <v>4.655106659536952E-2</v>
      </c>
      <c r="Z26" s="23">
        <f t="shared" ca="1" si="7"/>
        <v>0.10964193776102166</v>
      </c>
      <c r="AA26" s="17"/>
      <c r="AB26" s="17"/>
      <c r="AC26" s="17"/>
      <c r="AD26" s="17"/>
    </row>
    <row r="27" spans="1:30" ht="20.25" customHeight="1" x14ac:dyDescent="0.2">
      <c r="A27" s="24">
        <v>1988</v>
      </c>
      <c r="B27" s="25">
        <v>0.21890000000000001</v>
      </c>
      <c r="C27" s="25">
        <v>-0.13619999999999999</v>
      </c>
      <c r="D27" s="25">
        <v>0.1293</v>
      </c>
      <c r="E27" s="26">
        <v>0.17560000000000001</v>
      </c>
      <c r="F27" s="17"/>
      <c r="G27" s="21">
        <f t="shared" si="11"/>
        <v>1.2189000000000001</v>
      </c>
      <c r="H27" s="21">
        <f t="shared" si="11"/>
        <v>0.86380000000000001</v>
      </c>
      <c r="I27" s="21">
        <f t="shared" si="11"/>
        <v>1.1293</v>
      </c>
      <c r="J27" s="21">
        <f t="shared" si="11"/>
        <v>1.1756</v>
      </c>
      <c r="K27" s="17"/>
      <c r="L27" s="17">
        <f t="shared" ca="1" si="10"/>
        <v>1</v>
      </c>
      <c r="M27" s="17">
        <f t="shared" ca="1" si="10"/>
        <v>85</v>
      </c>
      <c r="N27" s="17">
        <f t="shared" ca="1" si="10"/>
        <v>10</v>
      </c>
      <c r="O27" s="17">
        <f t="shared" ca="1" si="10"/>
        <v>28</v>
      </c>
      <c r="P27" s="17">
        <f t="shared" ca="1" si="1"/>
        <v>124</v>
      </c>
      <c r="Q27" s="21">
        <f t="shared" ca="1" si="2"/>
        <v>8.0645161290322578E-3</v>
      </c>
      <c r="R27" s="21">
        <f t="shared" ca="1" si="3"/>
        <v>0.68548387096774188</v>
      </c>
      <c r="S27" s="21">
        <f t="shared" ca="1" si="4"/>
        <v>8.0645161290322578E-2</v>
      </c>
      <c r="T27" s="21">
        <f t="shared" ca="1" si="5"/>
        <v>0.22580645161290322</v>
      </c>
      <c r="U27" s="21">
        <f t="shared" ca="1" si="6"/>
        <v>1</v>
      </c>
      <c r="V27" s="22" t="str">
        <f t="shared" ca="1" si="9"/>
        <v>✅ OK</v>
      </c>
      <c r="W27" s="21"/>
      <c r="X27" s="21"/>
      <c r="Y27" s="21">
        <f t="array" aca="1" ref="Y27" ca="1">MMULT(MMULT(Q27:T27,$G$59:$J$62),TRANSPOSE(Q27:T27))</f>
        <v>4.9637945196700055E-2</v>
      </c>
      <c r="Z27" s="23">
        <f t="shared" ca="1" si="7"/>
        <v>0.10114992056604592</v>
      </c>
      <c r="AA27" s="17"/>
      <c r="AB27" s="17"/>
      <c r="AC27" s="17"/>
      <c r="AD27" s="17"/>
    </row>
    <row r="28" spans="1:30" ht="20.25" customHeight="1" x14ac:dyDescent="0.2">
      <c r="A28" s="24">
        <v>1989</v>
      </c>
      <c r="B28" s="25">
        <v>0.18360000000000001</v>
      </c>
      <c r="C28" s="25">
        <v>1.9599999999999999E-2</v>
      </c>
      <c r="D28" s="25">
        <v>0.17510000000000001</v>
      </c>
      <c r="E28" s="26">
        <v>0.28439999999999999</v>
      </c>
      <c r="F28" s="17"/>
      <c r="G28" s="21">
        <f t="shared" si="11"/>
        <v>1.1836</v>
      </c>
      <c r="H28" s="21">
        <f t="shared" si="11"/>
        <v>1.0196000000000001</v>
      </c>
      <c r="I28" s="21">
        <f t="shared" si="11"/>
        <v>1.1751</v>
      </c>
      <c r="J28" s="21">
        <f t="shared" si="11"/>
        <v>1.2844</v>
      </c>
      <c r="K28" s="17"/>
      <c r="L28" s="17">
        <f t="shared" ca="1" si="10"/>
        <v>28</v>
      </c>
      <c r="M28" s="17">
        <f t="shared" ca="1" si="10"/>
        <v>22</v>
      </c>
      <c r="N28" s="17">
        <f t="shared" ca="1" si="10"/>
        <v>46</v>
      </c>
      <c r="O28" s="17">
        <f t="shared" ca="1" si="10"/>
        <v>30</v>
      </c>
      <c r="P28" s="17">
        <f t="shared" ca="1" si="1"/>
        <v>126</v>
      </c>
      <c r="Q28" s="21">
        <f t="shared" ca="1" si="2"/>
        <v>0.22222222222222221</v>
      </c>
      <c r="R28" s="21">
        <f t="shared" ca="1" si="3"/>
        <v>0.17460317460317459</v>
      </c>
      <c r="S28" s="21">
        <f t="shared" ca="1" si="4"/>
        <v>0.36507936507936506</v>
      </c>
      <c r="T28" s="21">
        <f t="shared" ca="1" si="5"/>
        <v>0.23809523809523808</v>
      </c>
      <c r="U28" s="21">
        <f t="shared" ca="1" si="6"/>
        <v>1</v>
      </c>
      <c r="V28" s="22" t="str">
        <f t="shared" ca="1" si="9"/>
        <v>✅ OK</v>
      </c>
      <c r="W28" s="21"/>
      <c r="X28" s="21"/>
      <c r="Y28" s="21">
        <f t="array" aca="1" ref="Y28" ca="1">MMULT(MMULT(Q28:T28,$G$59:$J$62),TRANSPOSE(Q28:T28))</f>
        <v>6.0600927789480799E-2</v>
      </c>
      <c r="Z28" s="23">
        <f t="shared" ca="1" si="7"/>
        <v>0.10275287533472433</v>
      </c>
      <c r="AA28" s="17"/>
      <c r="AB28" s="17"/>
      <c r="AC28" s="17"/>
      <c r="AD28" s="17"/>
    </row>
    <row r="29" spans="1:30" ht="20.25" customHeight="1" x14ac:dyDescent="0.2">
      <c r="A29" s="24">
        <v>1990</v>
      </c>
      <c r="B29" s="25">
        <v>-0.1666</v>
      </c>
      <c r="C29" s="25">
        <v>-0.13900000000000001</v>
      </c>
      <c r="D29" s="25">
        <v>-0.3458</v>
      </c>
      <c r="E29" s="26">
        <v>-6.08E-2</v>
      </c>
      <c r="F29" s="17"/>
      <c r="G29" s="21">
        <f t="shared" si="11"/>
        <v>0.83340000000000003</v>
      </c>
      <c r="H29" s="21">
        <f t="shared" si="11"/>
        <v>0.86099999999999999</v>
      </c>
      <c r="I29" s="21">
        <f t="shared" si="11"/>
        <v>0.6542</v>
      </c>
      <c r="J29" s="21">
        <f t="shared" si="11"/>
        <v>0.93920000000000003</v>
      </c>
      <c r="K29" s="17"/>
      <c r="L29" s="17">
        <f t="shared" ca="1" si="10"/>
        <v>97</v>
      </c>
      <c r="M29" s="17">
        <f t="shared" ca="1" si="10"/>
        <v>34</v>
      </c>
      <c r="N29" s="17">
        <f t="shared" ca="1" si="10"/>
        <v>76</v>
      </c>
      <c r="O29" s="17">
        <f t="shared" ca="1" si="10"/>
        <v>21</v>
      </c>
      <c r="P29" s="17">
        <f t="shared" ca="1" si="1"/>
        <v>228</v>
      </c>
      <c r="Q29" s="21">
        <f t="shared" ca="1" si="2"/>
        <v>0.42543859649122806</v>
      </c>
      <c r="R29" s="21">
        <f t="shared" ca="1" si="3"/>
        <v>0.14912280701754385</v>
      </c>
      <c r="S29" s="21">
        <f t="shared" ca="1" si="4"/>
        <v>0.33333333333333331</v>
      </c>
      <c r="T29" s="21">
        <f t="shared" ca="1" si="5"/>
        <v>9.2105263157894732E-2</v>
      </c>
      <c r="U29" s="21">
        <f t="shared" ca="1" si="6"/>
        <v>1</v>
      </c>
      <c r="V29" s="22" t="str">
        <f t="shared" ca="1" si="9"/>
        <v>✅ OK</v>
      </c>
      <c r="W29" s="21"/>
      <c r="X29" s="21"/>
      <c r="Y29" s="21">
        <f t="array" aca="1" ref="Y29" ca="1">MMULT(MMULT(Q29:T29,$G$59:$J$62),TRANSPOSE(Q29:T29))</f>
        <v>6.3941729955560481E-2</v>
      </c>
      <c r="Z29" s="23">
        <f t="shared" ca="1" si="7"/>
        <v>8.3709878140375588E-2</v>
      </c>
      <c r="AA29" s="17"/>
      <c r="AB29" s="17"/>
      <c r="AC29" s="17"/>
      <c r="AD29" s="17"/>
    </row>
    <row r="30" spans="1:30" ht="20.25" customHeight="1" x14ac:dyDescent="0.2">
      <c r="A30" s="24">
        <v>1991</v>
      </c>
      <c r="B30" s="25">
        <v>0.2913</v>
      </c>
      <c r="C30" s="25">
        <v>0.1782</v>
      </c>
      <c r="D30" s="25">
        <v>0.71260000000000001</v>
      </c>
      <c r="E30" s="26">
        <v>0.33650000000000002</v>
      </c>
      <c r="F30" s="17"/>
      <c r="G30" s="21">
        <f t="shared" si="11"/>
        <v>1.2913000000000001</v>
      </c>
      <c r="H30" s="21">
        <f t="shared" si="11"/>
        <v>1.1781999999999999</v>
      </c>
      <c r="I30" s="21">
        <f t="shared" si="11"/>
        <v>1.7126000000000001</v>
      </c>
      <c r="J30" s="21">
        <f t="shared" si="11"/>
        <v>1.3365</v>
      </c>
      <c r="K30" s="17"/>
      <c r="L30" s="17">
        <f t="shared" ca="1" si="10"/>
        <v>44</v>
      </c>
      <c r="M30" s="17">
        <f t="shared" ca="1" si="10"/>
        <v>80</v>
      </c>
      <c r="N30" s="17">
        <f t="shared" ca="1" si="10"/>
        <v>3</v>
      </c>
      <c r="O30" s="17">
        <f t="shared" ca="1" si="10"/>
        <v>18</v>
      </c>
      <c r="P30" s="17">
        <f t="shared" ca="1" si="1"/>
        <v>145</v>
      </c>
      <c r="Q30" s="21">
        <f t="shared" ca="1" si="2"/>
        <v>0.30344827586206896</v>
      </c>
      <c r="R30" s="21">
        <f t="shared" ca="1" si="3"/>
        <v>0.55172413793103448</v>
      </c>
      <c r="S30" s="21">
        <f t="shared" ca="1" si="4"/>
        <v>2.0689655172413793E-2</v>
      </c>
      <c r="T30" s="21">
        <f t="shared" ca="1" si="5"/>
        <v>0.12413793103448276</v>
      </c>
      <c r="U30" s="21">
        <f t="shared" ca="1" si="6"/>
        <v>1</v>
      </c>
      <c r="V30" s="22" t="str">
        <f t="shared" ca="1" si="9"/>
        <v>✅ OK</v>
      </c>
      <c r="W30" s="21"/>
      <c r="X30" s="21"/>
      <c r="Y30" s="21">
        <f t="array" aca="1" ref="Y30" ca="1">MMULT(MMULT(Q30:T30,$G$59:$J$62),TRANSPOSE(Q30:T30))</f>
        <v>4.4351179728883743E-2</v>
      </c>
      <c r="Z30" s="23">
        <f t="shared" ca="1" si="7"/>
        <v>8.7888233570350638E-2</v>
      </c>
      <c r="AA30" s="17"/>
      <c r="AB30" s="17"/>
      <c r="AC30" s="17"/>
      <c r="AD30" s="17"/>
    </row>
    <row r="31" spans="1:30" ht="20.25" customHeight="1" x14ac:dyDescent="0.2">
      <c r="A31" s="24">
        <v>1992</v>
      </c>
      <c r="B31" s="25">
        <v>0.1195</v>
      </c>
      <c r="C31" s="25">
        <v>0.10929999999999999</v>
      </c>
      <c r="D31" s="25">
        <v>0.27810000000000001</v>
      </c>
      <c r="E31" s="26">
        <v>9.06E-2</v>
      </c>
      <c r="F31" s="17"/>
      <c r="G31" s="21">
        <f t="shared" si="11"/>
        <v>1.1194999999999999</v>
      </c>
      <c r="H31" s="21">
        <f t="shared" si="11"/>
        <v>1.1093</v>
      </c>
      <c r="I31" s="21">
        <f t="shared" si="11"/>
        <v>1.2781</v>
      </c>
      <c r="J31" s="21">
        <f t="shared" si="11"/>
        <v>1.0906</v>
      </c>
      <c r="K31" s="17"/>
      <c r="L31" s="17">
        <f t="shared" ca="1" si="10"/>
        <v>43</v>
      </c>
      <c r="M31" s="17">
        <f t="shared" ca="1" si="10"/>
        <v>93</v>
      </c>
      <c r="N31" s="17">
        <f t="shared" ca="1" si="10"/>
        <v>55</v>
      </c>
      <c r="O31" s="17">
        <f t="shared" ca="1" si="10"/>
        <v>87</v>
      </c>
      <c r="P31" s="17">
        <f t="shared" ca="1" si="1"/>
        <v>278</v>
      </c>
      <c r="Q31" s="21">
        <f t="shared" ca="1" si="2"/>
        <v>0.15467625899280577</v>
      </c>
      <c r="R31" s="21">
        <f t="shared" ca="1" si="3"/>
        <v>0.3345323741007194</v>
      </c>
      <c r="S31" s="21">
        <f t="shared" ca="1" si="4"/>
        <v>0.19784172661870503</v>
      </c>
      <c r="T31" s="21">
        <f t="shared" ca="1" si="5"/>
        <v>0.31294964028776978</v>
      </c>
      <c r="U31" s="21">
        <f t="shared" ca="1" si="6"/>
        <v>1</v>
      </c>
      <c r="V31" s="22" t="str">
        <f t="shared" ca="1" si="9"/>
        <v>✅ OK</v>
      </c>
      <c r="W31" s="21"/>
      <c r="X31" s="21"/>
      <c r="Y31" s="21">
        <f t="array" aca="1" ref="Y31" ca="1">MMULT(MMULT(Q31:T31,$G$59:$J$62),TRANSPOSE(Q31:T31))</f>
        <v>4.6090411352490056E-2</v>
      </c>
      <c r="Z31" s="23">
        <f t="shared" ca="1" si="7"/>
        <v>0.11251691681461919</v>
      </c>
      <c r="AA31" s="17"/>
      <c r="AB31" s="17"/>
      <c r="AC31" s="17"/>
      <c r="AD31" s="17"/>
    </row>
    <row r="32" spans="1:30" ht="20.25" customHeight="1" x14ac:dyDescent="0.2">
      <c r="A32" s="24">
        <v>1993</v>
      </c>
      <c r="B32" s="25">
        <v>0.13120000000000001</v>
      </c>
      <c r="C32" s="25">
        <v>7.6600000000000001E-2</v>
      </c>
      <c r="D32" s="25">
        <v>0.1376</v>
      </c>
      <c r="E32" s="26">
        <v>0.1159</v>
      </c>
      <c r="F32" s="17"/>
      <c r="G32" s="21">
        <f t="shared" si="11"/>
        <v>1.1312</v>
      </c>
      <c r="H32" s="21">
        <f t="shared" si="11"/>
        <v>1.0766</v>
      </c>
      <c r="I32" s="21">
        <f t="shared" si="11"/>
        <v>1.1375999999999999</v>
      </c>
      <c r="J32" s="21">
        <f t="shared" si="11"/>
        <v>1.1158999999999999</v>
      </c>
      <c r="K32" s="17"/>
      <c r="L32" s="17">
        <f t="shared" ca="1" si="10"/>
        <v>7</v>
      </c>
      <c r="M32" s="17">
        <f t="shared" ca="1" si="10"/>
        <v>72</v>
      </c>
      <c r="N32" s="17">
        <f t="shared" ca="1" si="10"/>
        <v>100</v>
      </c>
      <c r="O32" s="17">
        <f t="shared" ca="1" si="10"/>
        <v>14</v>
      </c>
      <c r="P32" s="17">
        <f t="shared" ca="1" si="1"/>
        <v>193</v>
      </c>
      <c r="Q32" s="21">
        <f t="shared" ca="1" si="2"/>
        <v>3.6269430051813469E-2</v>
      </c>
      <c r="R32" s="21">
        <f t="shared" ca="1" si="3"/>
        <v>0.37305699481865284</v>
      </c>
      <c r="S32" s="21">
        <f t="shared" ca="1" si="4"/>
        <v>0.51813471502590669</v>
      </c>
      <c r="T32" s="21">
        <f t="shared" ca="1" si="5"/>
        <v>7.2538860103626937E-2</v>
      </c>
      <c r="U32" s="21">
        <f t="shared" ca="1" si="6"/>
        <v>1</v>
      </c>
      <c r="V32" s="22" t="str">
        <f t="shared" ca="1" si="9"/>
        <v>✅ OK</v>
      </c>
      <c r="W32" s="21"/>
      <c r="X32" s="21"/>
      <c r="Y32" s="21">
        <f t="array" aca="1" ref="Y32" ca="1">MMULT(MMULT(Q32:T32,$G$59:$J$62),TRANSPOSE(Q32:T32))</f>
        <v>7.8990219147976382E-2</v>
      </c>
      <c r="Z32" s="23">
        <f t="shared" ca="1" si="7"/>
        <v>8.1157627832600457E-2</v>
      </c>
      <c r="AA32" s="17"/>
      <c r="AB32" s="17"/>
      <c r="AC32" s="17"/>
      <c r="AD32" s="17"/>
    </row>
    <row r="33" spans="1:30" ht="20.25" customHeight="1" x14ac:dyDescent="0.2">
      <c r="A33" s="24">
        <v>1994</v>
      </c>
      <c r="B33" s="25">
        <v>1.24E-2</v>
      </c>
      <c r="C33" s="25">
        <v>-0.16209999999999999</v>
      </c>
      <c r="D33" s="25">
        <v>-8.8699999999999987E-2</v>
      </c>
      <c r="E33" s="26">
        <v>-7.6E-3</v>
      </c>
      <c r="F33" s="17"/>
      <c r="G33" s="21">
        <f t="shared" si="11"/>
        <v>1.0124</v>
      </c>
      <c r="H33" s="21">
        <f t="shared" si="11"/>
        <v>0.83789999999999998</v>
      </c>
      <c r="I33" s="21">
        <f t="shared" si="11"/>
        <v>0.9113</v>
      </c>
      <c r="J33" s="21">
        <f t="shared" si="11"/>
        <v>0.99239999999999995</v>
      </c>
      <c r="K33" s="17"/>
      <c r="L33" s="17">
        <f t="shared" ca="1" si="10"/>
        <v>7</v>
      </c>
      <c r="M33" s="17">
        <f t="shared" ca="1" si="10"/>
        <v>14</v>
      </c>
      <c r="N33" s="17">
        <f t="shared" ca="1" si="10"/>
        <v>48</v>
      </c>
      <c r="O33" s="17">
        <f t="shared" ca="1" si="10"/>
        <v>53</v>
      </c>
      <c r="P33" s="17">
        <f t="shared" ca="1" si="1"/>
        <v>122</v>
      </c>
      <c r="Q33" s="21">
        <f t="shared" ca="1" si="2"/>
        <v>5.737704918032787E-2</v>
      </c>
      <c r="R33" s="21">
        <f t="shared" ca="1" si="3"/>
        <v>0.11475409836065574</v>
      </c>
      <c r="S33" s="21">
        <f t="shared" ca="1" si="4"/>
        <v>0.39344262295081966</v>
      </c>
      <c r="T33" s="21">
        <f t="shared" ca="1" si="5"/>
        <v>0.4344262295081967</v>
      </c>
      <c r="U33" s="21">
        <f t="shared" ca="1" si="6"/>
        <v>1</v>
      </c>
      <c r="V33" s="22" t="str">
        <f t="shared" ca="1" si="9"/>
        <v>✅ OK</v>
      </c>
      <c r="W33" s="21"/>
      <c r="X33" s="21"/>
      <c r="Y33" s="21">
        <f t="array" aca="1" ref="Y33" ca="1">MMULT(MMULT(Q33:T33,$G$59:$J$62),TRANSPOSE(Q33:T33))</f>
        <v>5.8193448606149598E-2</v>
      </c>
      <c r="Z33" s="23">
        <f t="shared" ca="1" si="7"/>
        <v>0.12836237708472653</v>
      </c>
      <c r="AA33" s="17"/>
      <c r="AB33" s="17"/>
      <c r="AC33" s="17"/>
      <c r="AD33" s="17"/>
    </row>
    <row r="34" spans="1:30" ht="20.25" customHeight="1" x14ac:dyDescent="0.2">
      <c r="A34" s="24">
        <v>1995</v>
      </c>
      <c r="B34" s="25">
        <v>0.20019999999999999</v>
      </c>
      <c r="C34" s="25">
        <v>0.5333</v>
      </c>
      <c r="D34" s="25">
        <v>8.5000000000000006E-3</v>
      </c>
      <c r="E34" s="26">
        <v>0.35670000000000002</v>
      </c>
      <c r="F34" s="17"/>
      <c r="G34" s="21">
        <f t="shared" si="11"/>
        <v>1.2001999999999999</v>
      </c>
      <c r="H34" s="21">
        <f t="shared" si="11"/>
        <v>1.5333000000000001</v>
      </c>
      <c r="I34" s="21">
        <f t="shared" si="11"/>
        <v>1.0085</v>
      </c>
      <c r="J34" s="21">
        <f t="shared" si="11"/>
        <v>1.3567</v>
      </c>
      <c r="K34" s="17"/>
      <c r="L34" s="17">
        <f t="shared" ref="L34:O49" ca="1" si="12">RANDBETWEEN(0,100)</f>
        <v>99</v>
      </c>
      <c r="M34" s="17">
        <f t="shared" ca="1" si="12"/>
        <v>60</v>
      </c>
      <c r="N34" s="17">
        <f t="shared" ca="1" si="12"/>
        <v>83</v>
      </c>
      <c r="O34" s="17">
        <f t="shared" ca="1" si="12"/>
        <v>7</v>
      </c>
      <c r="P34" s="17">
        <f t="shared" ca="1" si="1"/>
        <v>249</v>
      </c>
      <c r="Q34" s="21">
        <f t="shared" ca="1" si="2"/>
        <v>0.39759036144578314</v>
      </c>
      <c r="R34" s="21">
        <f t="shared" ca="1" si="3"/>
        <v>0.24096385542168675</v>
      </c>
      <c r="S34" s="21">
        <f t="shared" ca="1" si="4"/>
        <v>0.33333333333333331</v>
      </c>
      <c r="T34" s="21">
        <f t="shared" ca="1" si="5"/>
        <v>2.8112449799196786E-2</v>
      </c>
      <c r="U34" s="21">
        <f t="shared" ca="1" si="6"/>
        <v>0.99999999999999989</v>
      </c>
      <c r="V34" s="22" t="str">
        <f t="shared" ca="1" si="9"/>
        <v>✅ OK</v>
      </c>
      <c r="W34" s="21"/>
      <c r="X34" s="21"/>
      <c r="Y34" s="21">
        <f t="array" aca="1" ref="Y34" ca="1">MMULT(MMULT(Q34:T34,$G$59:$J$62),TRANSPOSE(Q34:T34))</f>
        <v>6.5147108869993073E-2</v>
      </c>
      <c r="Z34" s="23">
        <f t="shared" ca="1" si="7"/>
        <v>7.5362627133782986E-2</v>
      </c>
      <c r="AA34" s="17"/>
      <c r="AB34" s="17"/>
      <c r="AC34" s="17"/>
      <c r="AD34" s="17"/>
    </row>
    <row r="35" spans="1:30" ht="20.25" customHeight="1" x14ac:dyDescent="0.2">
      <c r="A35" s="24">
        <v>1996</v>
      </c>
      <c r="B35" s="25">
        <v>5.5500000000000001E-2</v>
      </c>
      <c r="C35" s="25">
        <v>0.20810000000000001</v>
      </c>
      <c r="D35" s="25">
        <v>0.115</v>
      </c>
      <c r="E35" s="26">
        <v>0.21179999999999999</v>
      </c>
      <c r="F35" s="17"/>
      <c r="G35" s="21">
        <f t="shared" ref="G35:J50" si="13">(B35)+1</f>
        <v>1.0555000000000001</v>
      </c>
      <c r="H35" s="21">
        <f t="shared" si="13"/>
        <v>1.2081</v>
      </c>
      <c r="I35" s="21">
        <f t="shared" si="13"/>
        <v>1.115</v>
      </c>
      <c r="J35" s="21">
        <f t="shared" si="13"/>
        <v>1.2118</v>
      </c>
      <c r="K35" s="17"/>
      <c r="L35" s="17">
        <f t="shared" ca="1" si="12"/>
        <v>8</v>
      </c>
      <c r="M35" s="17">
        <f t="shared" ca="1" si="12"/>
        <v>19</v>
      </c>
      <c r="N35" s="17">
        <f t="shared" ca="1" si="12"/>
        <v>12</v>
      </c>
      <c r="O35" s="17">
        <f t="shared" ca="1" si="12"/>
        <v>83</v>
      </c>
      <c r="P35" s="17">
        <f t="shared" ca="1" si="1"/>
        <v>122</v>
      </c>
      <c r="Q35" s="21">
        <f t="shared" ca="1" si="2"/>
        <v>6.5573770491803282E-2</v>
      </c>
      <c r="R35" s="21">
        <f t="shared" ca="1" si="3"/>
        <v>0.15573770491803279</v>
      </c>
      <c r="S35" s="21">
        <f t="shared" ca="1" si="4"/>
        <v>9.8360655737704916E-2</v>
      </c>
      <c r="T35" s="21">
        <f t="shared" ca="1" si="5"/>
        <v>0.68032786885245899</v>
      </c>
      <c r="U35" s="21">
        <f t="shared" ca="1" si="6"/>
        <v>1</v>
      </c>
      <c r="V35" s="22" t="str">
        <f t="shared" ca="1" si="9"/>
        <v>✅ OK</v>
      </c>
      <c r="W35" s="21"/>
      <c r="X35" s="21"/>
      <c r="Y35" s="21">
        <f t="array" aca="1" ref="Y35" ca="1">MMULT(MMULT(Q35:T35,$G$59:$J$62),TRANSPOSE(Q35:T35))</f>
        <v>3.4914068351734454E-2</v>
      </c>
      <c r="Z35" s="23">
        <f t="shared" ca="1" si="7"/>
        <v>0.16043789617518658</v>
      </c>
      <c r="AA35" s="17"/>
      <c r="AB35" s="17"/>
      <c r="AC35" s="17"/>
      <c r="AD35" s="17"/>
    </row>
    <row r="36" spans="1:30" ht="20.25" customHeight="1" x14ac:dyDescent="0.2">
      <c r="A36" s="24">
        <v>1997</v>
      </c>
      <c r="B36" s="25">
        <v>0.21010000000000001</v>
      </c>
      <c r="C36" s="25">
        <v>0.23050000000000001</v>
      </c>
      <c r="D36" s="25">
        <v>-0.1313</v>
      </c>
      <c r="E36" s="26">
        <v>0.30349999999999999</v>
      </c>
      <c r="F36" s="17"/>
      <c r="G36" s="21">
        <f t="shared" si="13"/>
        <v>1.2101</v>
      </c>
      <c r="H36" s="21">
        <f t="shared" si="13"/>
        <v>1.2304999999999999</v>
      </c>
      <c r="I36" s="21">
        <f t="shared" si="13"/>
        <v>0.86870000000000003</v>
      </c>
      <c r="J36" s="21">
        <f t="shared" si="13"/>
        <v>1.3035000000000001</v>
      </c>
      <c r="K36" s="17"/>
      <c r="L36" s="17">
        <f t="shared" ca="1" si="12"/>
        <v>54</v>
      </c>
      <c r="M36" s="17">
        <f t="shared" ca="1" si="12"/>
        <v>34</v>
      </c>
      <c r="N36" s="17">
        <f t="shared" ca="1" si="12"/>
        <v>46</v>
      </c>
      <c r="O36" s="17">
        <f t="shared" ca="1" si="12"/>
        <v>3</v>
      </c>
      <c r="P36" s="17">
        <f t="shared" ca="1" si="1"/>
        <v>137</v>
      </c>
      <c r="Q36" s="21">
        <f t="shared" ca="1" si="2"/>
        <v>0.39416058394160586</v>
      </c>
      <c r="R36" s="21">
        <f t="shared" ca="1" si="3"/>
        <v>0.24817518248175183</v>
      </c>
      <c r="S36" s="21">
        <f t="shared" ca="1" si="4"/>
        <v>0.33576642335766421</v>
      </c>
      <c r="T36" s="21">
        <f t="shared" ca="1" si="5"/>
        <v>2.1897810218978103E-2</v>
      </c>
      <c r="U36" s="21">
        <f t="shared" ca="1" si="6"/>
        <v>0.99999999999999989</v>
      </c>
      <c r="V36" s="22" t="str">
        <f t="shared" ca="1" si="9"/>
        <v>✅ OK</v>
      </c>
      <c r="W36" s="21"/>
      <c r="X36" s="21"/>
      <c r="Y36" s="21">
        <f t="array" aca="1" ref="Y36" ca="1">MMULT(MMULT(Q36:T36,$G$59:$J$62),TRANSPOSE(Q36:T36))</f>
        <v>6.5517637120733024E-2</v>
      </c>
      <c r="Z36" s="23">
        <f t="shared" ca="1" si="7"/>
        <v>7.455198678576741E-2</v>
      </c>
      <c r="AA36" s="17"/>
      <c r="AB36" s="17"/>
      <c r="AC36" s="17"/>
      <c r="AD36" s="17"/>
    </row>
    <row r="37" spans="1:30" ht="20.25" customHeight="1" x14ac:dyDescent="0.2">
      <c r="A37" s="24">
        <v>1998</v>
      </c>
      <c r="B37" s="25">
        <v>-4.6899999999999997E-2</v>
      </c>
      <c r="C37" s="25">
        <v>-1.41E-2</v>
      </c>
      <c r="D37" s="25">
        <v>-0.10349999999999999</v>
      </c>
      <c r="E37" s="26">
        <v>0.2225</v>
      </c>
      <c r="F37" s="17"/>
      <c r="G37" s="21">
        <f t="shared" si="13"/>
        <v>0.95310000000000006</v>
      </c>
      <c r="H37" s="21">
        <f t="shared" si="13"/>
        <v>0.9859</v>
      </c>
      <c r="I37" s="21">
        <f t="shared" si="13"/>
        <v>0.89649999999999996</v>
      </c>
      <c r="J37" s="21">
        <f t="shared" si="13"/>
        <v>1.2224999999999999</v>
      </c>
      <c r="K37" s="17"/>
      <c r="L37" s="17">
        <f t="shared" ca="1" si="12"/>
        <v>91</v>
      </c>
      <c r="M37" s="17">
        <f t="shared" ca="1" si="12"/>
        <v>46</v>
      </c>
      <c r="N37" s="17">
        <f t="shared" ca="1" si="12"/>
        <v>83</v>
      </c>
      <c r="O37" s="17">
        <f t="shared" ca="1" si="12"/>
        <v>34</v>
      </c>
      <c r="P37" s="17">
        <f t="shared" ca="1" si="1"/>
        <v>254</v>
      </c>
      <c r="Q37" s="21">
        <f t="shared" ca="1" si="2"/>
        <v>0.35826771653543305</v>
      </c>
      <c r="R37" s="21">
        <f t="shared" ca="1" si="3"/>
        <v>0.18110236220472442</v>
      </c>
      <c r="S37" s="21">
        <f t="shared" ca="1" si="4"/>
        <v>0.32677165354330706</v>
      </c>
      <c r="T37" s="21">
        <f t="shared" ca="1" si="5"/>
        <v>0.13385826771653545</v>
      </c>
      <c r="U37" s="21">
        <f t="shared" ca="1" si="6"/>
        <v>0.99999999999999989</v>
      </c>
      <c r="V37" s="22" t="str">
        <f t="shared" ca="1" si="9"/>
        <v>✅ OK</v>
      </c>
      <c r="W37" s="21"/>
      <c r="X37" s="21"/>
      <c r="Y37" s="21">
        <f t="array" aca="1" ref="Y37" ca="1">MMULT(MMULT(Q37:T37,$G$59:$J$62),TRANSPOSE(Q37:T37))</f>
        <v>6.1185022429193922E-2</v>
      </c>
      <c r="Z37" s="23">
        <f t="shared" ca="1" si="7"/>
        <v>8.9156158605914873E-2</v>
      </c>
      <c r="AA37" s="17"/>
      <c r="AB37" s="17"/>
      <c r="AC37" s="17"/>
      <c r="AD37" s="17"/>
    </row>
    <row r="38" spans="1:30" ht="20.25" customHeight="1" x14ac:dyDescent="0.2">
      <c r="A38" s="24">
        <v>1999</v>
      </c>
      <c r="B38" s="25">
        <v>-1.8800000000000001E-2</v>
      </c>
      <c r="C38" s="25">
        <v>-0.18859999999999999</v>
      </c>
      <c r="D38" s="25">
        <v>0.1651</v>
      </c>
      <c r="E38" s="26">
        <v>0.25269999999999998</v>
      </c>
      <c r="F38" s="17"/>
      <c r="G38" s="21">
        <f t="shared" si="13"/>
        <v>0.98119999999999996</v>
      </c>
      <c r="H38" s="21">
        <f t="shared" si="13"/>
        <v>0.81140000000000001</v>
      </c>
      <c r="I38" s="21">
        <f t="shared" si="13"/>
        <v>1.1651</v>
      </c>
      <c r="J38" s="21">
        <f t="shared" si="13"/>
        <v>1.2526999999999999</v>
      </c>
      <c r="K38" s="17"/>
      <c r="L38" s="17">
        <f t="shared" ca="1" si="12"/>
        <v>36</v>
      </c>
      <c r="M38" s="17">
        <f t="shared" ca="1" si="12"/>
        <v>74</v>
      </c>
      <c r="N38" s="17">
        <f t="shared" ca="1" si="12"/>
        <v>44</v>
      </c>
      <c r="O38" s="17">
        <f t="shared" ca="1" si="12"/>
        <v>92</v>
      </c>
      <c r="P38" s="17">
        <f t="shared" ca="1" si="1"/>
        <v>246</v>
      </c>
      <c r="Q38" s="21">
        <f t="shared" ca="1" si="2"/>
        <v>0.14634146341463414</v>
      </c>
      <c r="R38" s="21">
        <f t="shared" ca="1" si="3"/>
        <v>0.30081300813008133</v>
      </c>
      <c r="S38" s="21">
        <f t="shared" ca="1" si="4"/>
        <v>0.17886178861788618</v>
      </c>
      <c r="T38" s="21">
        <f t="shared" ca="1" si="5"/>
        <v>0.37398373983739835</v>
      </c>
      <c r="U38" s="21">
        <f t="shared" ca="1" si="6"/>
        <v>1</v>
      </c>
      <c r="V38" s="22" t="str">
        <f t="shared" ca="1" si="9"/>
        <v>✅ OK</v>
      </c>
      <c r="W38" s="21"/>
      <c r="X38" s="21"/>
      <c r="Y38" s="21">
        <f t="array" aca="1" ref="Y38" ca="1">MMULT(MMULT(Q38:T38,$G$59:$J$62),TRANSPOSE(Q38:T38))</f>
        <v>4.3460160643979159E-2</v>
      </c>
      <c r="Z38" s="23">
        <f t="shared" ca="1" si="7"/>
        <v>0.12047823187739666</v>
      </c>
      <c r="AA38" s="17"/>
      <c r="AB38" s="17"/>
      <c r="AC38" s="17"/>
      <c r="AD38" s="17"/>
    </row>
    <row r="39" spans="1:30" ht="20.25" customHeight="1" x14ac:dyDescent="0.2">
      <c r="A39" s="24">
        <v>2000</v>
      </c>
      <c r="B39" s="25">
        <v>0.1356</v>
      </c>
      <c r="C39" s="25">
        <v>0.16039999999999999</v>
      </c>
      <c r="D39" s="25">
        <v>-0.30590000000000001</v>
      </c>
      <c r="E39" s="26">
        <v>-0.1105</v>
      </c>
      <c r="F39" s="17"/>
      <c r="G39" s="21">
        <f t="shared" si="13"/>
        <v>1.1355999999999999</v>
      </c>
      <c r="H39" s="21">
        <f t="shared" si="13"/>
        <v>1.1604000000000001</v>
      </c>
      <c r="I39" s="21">
        <f t="shared" si="13"/>
        <v>0.69409999999999994</v>
      </c>
      <c r="J39" s="21">
        <f t="shared" si="13"/>
        <v>0.88949999999999996</v>
      </c>
      <c r="K39" s="17"/>
      <c r="L39" s="17">
        <f t="shared" ca="1" si="12"/>
        <v>80</v>
      </c>
      <c r="M39" s="17">
        <f t="shared" ca="1" si="12"/>
        <v>21</v>
      </c>
      <c r="N39" s="17">
        <f t="shared" ca="1" si="12"/>
        <v>85</v>
      </c>
      <c r="O39" s="17">
        <f t="shared" ca="1" si="12"/>
        <v>21</v>
      </c>
      <c r="P39" s="17">
        <f t="shared" ca="1" si="1"/>
        <v>207</v>
      </c>
      <c r="Q39" s="21">
        <f t="shared" ca="1" si="2"/>
        <v>0.38647342995169082</v>
      </c>
      <c r="R39" s="21">
        <f t="shared" ca="1" si="3"/>
        <v>0.10144927536231885</v>
      </c>
      <c r="S39" s="21">
        <f t="shared" ca="1" si="4"/>
        <v>0.41062801932367149</v>
      </c>
      <c r="T39" s="21">
        <f t="shared" ca="1" si="5"/>
        <v>0.10144927536231885</v>
      </c>
      <c r="U39" s="21">
        <f t="shared" ca="1" si="6"/>
        <v>1</v>
      </c>
      <c r="V39" s="22" t="str">
        <f t="shared" ca="1" si="9"/>
        <v>✅ OK</v>
      </c>
      <c r="W39" s="21"/>
      <c r="X39" s="21"/>
      <c r="Y39" s="21">
        <f t="array" aca="1" ref="Y39" ca="1">MMULT(MMULT(Q39:T39,$G$59:$J$62),TRANSPOSE(Q39:T39))</f>
        <v>7.1000769638432507E-2</v>
      </c>
      <c r="Z39" s="23">
        <f t="shared" ca="1" si="7"/>
        <v>8.4928715243876546E-2</v>
      </c>
      <c r="AA39" s="17"/>
      <c r="AB39" s="17"/>
      <c r="AC39" s="17"/>
      <c r="AD39" s="17"/>
    </row>
    <row r="40" spans="1:30" ht="20.25" customHeight="1" x14ac:dyDescent="0.2">
      <c r="A40" s="24">
        <v>2001</v>
      </c>
      <c r="B40" s="25">
        <v>0.39150000000000001</v>
      </c>
      <c r="C40" s="25">
        <v>0.34910000000000002</v>
      </c>
      <c r="D40" s="25">
        <v>0.2989</v>
      </c>
      <c r="E40" s="26">
        <v>-0.11260000000000001</v>
      </c>
      <c r="F40" s="17"/>
      <c r="G40" s="21">
        <f t="shared" si="13"/>
        <v>1.3915</v>
      </c>
      <c r="H40" s="21">
        <f t="shared" si="13"/>
        <v>1.3491</v>
      </c>
      <c r="I40" s="21">
        <f t="shared" si="13"/>
        <v>1.2988999999999999</v>
      </c>
      <c r="J40" s="21">
        <f t="shared" si="13"/>
        <v>0.88739999999999997</v>
      </c>
      <c r="K40" s="17"/>
      <c r="L40" s="17">
        <f t="shared" ca="1" si="12"/>
        <v>11</v>
      </c>
      <c r="M40" s="17">
        <f t="shared" ca="1" si="12"/>
        <v>35</v>
      </c>
      <c r="N40" s="17">
        <f t="shared" ca="1" si="12"/>
        <v>76</v>
      </c>
      <c r="O40" s="17">
        <f t="shared" ca="1" si="12"/>
        <v>83</v>
      </c>
      <c r="P40" s="17">
        <f t="shared" ca="1" si="1"/>
        <v>205</v>
      </c>
      <c r="Q40" s="21">
        <f t="shared" ca="1" si="2"/>
        <v>5.3658536585365853E-2</v>
      </c>
      <c r="R40" s="21">
        <f t="shared" ca="1" si="3"/>
        <v>0.17073170731707318</v>
      </c>
      <c r="S40" s="21">
        <f t="shared" ca="1" si="4"/>
        <v>0.37073170731707317</v>
      </c>
      <c r="T40" s="21">
        <f t="shared" ca="1" si="5"/>
        <v>0.40487804878048783</v>
      </c>
      <c r="U40" s="21">
        <f t="shared" ca="1" si="6"/>
        <v>1</v>
      </c>
      <c r="V40" s="22" t="str">
        <f t="shared" ca="1" si="9"/>
        <v>✅ OK</v>
      </c>
      <c r="W40" s="21"/>
      <c r="X40" s="21"/>
      <c r="Y40" s="21">
        <f t="array" aca="1" ref="Y40" ca="1">MMULT(MMULT(Q40:T40,$G$59:$J$62),TRANSPOSE(Q40:T40))</f>
        <v>5.6439900307041074E-2</v>
      </c>
      <c r="Z40" s="23">
        <f t="shared" ca="1" si="7"/>
        <v>0.12450809926231192</v>
      </c>
      <c r="AA40" s="17"/>
      <c r="AB40" s="17"/>
      <c r="AC40" s="17"/>
      <c r="AD40" s="17"/>
    </row>
    <row r="41" spans="1:30" ht="20.25" customHeight="1" x14ac:dyDescent="0.2">
      <c r="A41" s="24">
        <v>2002</v>
      </c>
      <c r="B41" s="25">
        <v>-1.5299999999999999E-2</v>
      </c>
      <c r="C41" s="25">
        <v>-3.7000000000000012E-2</v>
      </c>
      <c r="D41" s="25">
        <v>2.24E-2</v>
      </c>
      <c r="E41" s="26">
        <v>-0.2084</v>
      </c>
      <c r="F41" s="17"/>
      <c r="G41" s="21">
        <f t="shared" si="13"/>
        <v>0.98470000000000002</v>
      </c>
      <c r="H41" s="21">
        <f t="shared" si="13"/>
        <v>0.96299999999999997</v>
      </c>
      <c r="I41" s="21">
        <f t="shared" si="13"/>
        <v>1.0224</v>
      </c>
      <c r="J41" s="21">
        <f t="shared" si="13"/>
        <v>0.79159999999999997</v>
      </c>
      <c r="K41" s="17"/>
      <c r="L41" s="17">
        <f t="shared" ca="1" si="12"/>
        <v>16</v>
      </c>
      <c r="M41" s="17">
        <f t="shared" ca="1" si="12"/>
        <v>34</v>
      </c>
      <c r="N41" s="17">
        <f t="shared" ca="1" si="12"/>
        <v>11</v>
      </c>
      <c r="O41" s="17">
        <f t="shared" ca="1" si="12"/>
        <v>0</v>
      </c>
      <c r="P41" s="17">
        <f t="shared" ca="1" si="1"/>
        <v>61</v>
      </c>
      <c r="Q41" s="21">
        <f t="shared" ca="1" si="2"/>
        <v>0.26229508196721313</v>
      </c>
      <c r="R41" s="21">
        <f t="shared" ca="1" si="3"/>
        <v>0.55737704918032782</v>
      </c>
      <c r="S41" s="21">
        <f t="shared" ca="1" si="4"/>
        <v>0.18032786885245902</v>
      </c>
      <c r="T41" s="21">
        <f t="shared" ca="1" si="5"/>
        <v>0</v>
      </c>
      <c r="U41" s="21">
        <f t="shared" ca="1" si="6"/>
        <v>1</v>
      </c>
      <c r="V41" s="22" t="str">
        <f t="shared" ca="1" si="9"/>
        <v>✅ OK</v>
      </c>
      <c r="W41" s="21"/>
      <c r="X41" s="21"/>
      <c r="Y41" s="21">
        <f t="array" aca="1" ref="Y41" ca="1">MMULT(MMULT(Q41:T41,$G$59:$J$62),TRANSPOSE(Q41:T41))</f>
        <v>5.6727959414420562E-2</v>
      </c>
      <c r="Z41" s="23">
        <f t="shared" ca="1" si="7"/>
        <v>7.1695626691580472E-2</v>
      </c>
      <c r="AA41" s="17"/>
      <c r="AB41" s="17"/>
      <c r="AC41" s="17"/>
      <c r="AD41" s="17"/>
    </row>
    <row r="42" spans="1:30" ht="20.25" customHeight="1" x14ac:dyDescent="0.2">
      <c r="A42" s="24">
        <v>2003</v>
      </c>
      <c r="B42" s="25">
        <v>0.36709999999999998</v>
      </c>
      <c r="C42" s="25">
        <v>0.8909999999999999</v>
      </c>
      <c r="D42" s="25">
        <v>0.35020000000000001</v>
      </c>
      <c r="E42" s="26">
        <v>0.33139999999999997</v>
      </c>
      <c r="F42" s="17"/>
      <c r="G42" s="21">
        <f t="shared" si="13"/>
        <v>1.3671</v>
      </c>
      <c r="H42" s="21">
        <f t="shared" si="13"/>
        <v>1.891</v>
      </c>
      <c r="I42" s="21">
        <f t="shared" si="13"/>
        <v>1.3502000000000001</v>
      </c>
      <c r="J42" s="21">
        <f t="shared" si="13"/>
        <v>1.3313999999999999</v>
      </c>
      <c r="K42" s="17"/>
      <c r="L42" s="17">
        <f t="shared" ca="1" si="12"/>
        <v>10</v>
      </c>
      <c r="M42" s="17">
        <f t="shared" ca="1" si="12"/>
        <v>50</v>
      </c>
      <c r="N42" s="17">
        <f t="shared" ca="1" si="12"/>
        <v>20</v>
      </c>
      <c r="O42" s="17">
        <f t="shared" ca="1" si="12"/>
        <v>18</v>
      </c>
      <c r="P42" s="17">
        <f t="shared" ca="1" si="1"/>
        <v>98</v>
      </c>
      <c r="Q42" s="21">
        <f t="shared" ca="1" si="2"/>
        <v>0.10204081632653061</v>
      </c>
      <c r="R42" s="21">
        <f t="shared" ca="1" si="3"/>
        <v>0.51020408163265307</v>
      </c>
      <c r="S42" s="21">
        <f t="shared" ca="1" si="4"/>
        <v>0.20408163265306123</v>
      </c>
      <c r="T42" s="21">
        <f t="shared" ca="1" si="5"/>
        <v>0.18367346938775511</v>
      </c>
      <c r="U42" s="21">
        <f t="shared" ca="1" si="6"/>
        <v>1</v>
      </c>
      <c r="V42" s="22" t="str">
        <f t="shared" ca="1" si="9"/>
        <v>✅ OK</v>
      </c>
      <c r="W42" s="21"/>
      <c r="X42" s="21"/>
      <c r="Y42" s="21">
        <f t="array" aca="1" ref="Y42" ca="1">MMULT(MMULT(Q42:T42,$G$59:$J$62),TRANSPOSE(Q42:T42))</f>
        <v>5.1963309372682939E-2</v>
      </c>
      <c r="Z42" s="23">
        <f t="shared" ca="1" si="7"/>
        <v>9.5654075644862863E-2</v>
      </c>
      <c r="AA42" s="17"/>
      <c r="AB42" s="17"/>
      <c r="AC42" s="17"/>
      <c r="AD42" s="17"/>
    </row>
    <row r="43" spans="1:30" ht="20.25" customHeight="1" x14ac:dyDescent="0.2">
      <c r="A43" s="24">
        <v>2004</v>
      </c>
      <c r="B43" s="25">
        <v>0.22939999999999999</v>
      </c>
      <c r="C43" s="25">
        <v>0.2306</v>
      </c>
      <c r="D43" s="25">
        <v>0.2445</v>
      </c>
      <c r="E43" s="26">
        <v>0.13</v>
      </c>
      <c r="F43" s="17"/>
      <c r="G43" s="21">
        <f t="shared" si="13"/>
        <v>1.2294</v>
      </c>
      <c r="H43" s="21">
        <f t="shared" si="13"/>
        <v>1.2305999999999999</v>
      </c>
      <c r="I43" s="21">
        <f t="shared" si="13"/>
        <v>1.2444999999999999</v>
      </c>
      <c r="J43" s="21">
        <f t="shared" si="13"/>
        <v>1.1299999999999999</v>
      </c>
      <c r="K43" s="17"/>
      <c r="L43" s="17">
        <f t="shared" ca="1" si="12"/>
        <v>61</v>
      </c>
      <c r="M43" s="17">
        <f t="shared" ca="1" si="12"/>
        <v>65</v>
      </c>
      <c r="N43" s="17">
        <f t="shared" ca="1" si="12"/>
        <v>9</v>
      </c>
      <c r="O43" s="17">
        <f t="shared" ca="1" si="12"/>
        <v>64</v>
      </c>
      <c r="P43" s="17">
        <f t="shared" ca="1" si="1"/>
        <v>199</v>
      </c>
      <c r="Q43" s="21">
        <f t="shared" ca="1" si="2"/>
        <v>0.30653266331658291</v>
      </c>
      <c r="R43" s="21">
        <f t="shared" ca="1" si="3"/>
        <v>0.32663316582914576</v>
      </c>
      <c r="S43" s="21">
        <f t="shared" ca="1" si="4"/>
        <v>4.5226130653266333E-2</v>
      </c>
      <c r="T43" s="21">
        <f t="shared" ca="1" si="5"/>
        <v>0.32160804020100503</v>
      </c>
      <c r="U43" s="21">
        <f t="shared" ca="1" si="6"/>
        <v>1</v>
      </c>
      <c r="V43" s="22" t="str">
        <f t="shared" ca="1" si="9"/>
        <v>✅ OK</v>
      </c>
      <c r="W43" s="21"/>
      <c r="X43" s="21"/>
      <c r="Y43" s="21">
        <f t="array" aca="1" ref="Y43" ca="1">MMULT(MMULT(Q43:T43,$G$59:$J$62),TRANSPOSE(Q43:T43))</f>
        <v>3.7498346747571201E-2</v>
      </c>
      <c r="Z43" s="23">
        <f t="shared" ca="1" si="7"/>
        <v>0.11364632234623909</v>
      </c>
      <c r="AA43" s="17"/>
      <c r="AB43" s="17"/>
      <c r="AC43" s="17"/>
      <c r="AD43" s="17"/>
    </row>
    <row r="44" spans="1:30" ht="20.25" customHeight="1" x14ac:dyDescent="0.2">
      <c r="A44" s="24">
        <v>2005</v>
      </c>
      <c r="B44" s="25">
        <v>-3.3599999999999998E-2</v>
      </c>
      <c r="C44" s="25">
        <v>-2.2800000000000001E-2</v>
      </c>
      <c r="D44" s="25">
        <v>-0.25030000000000002</v>
      </c>
      <c r="E44" s="26">
        <v>7.3200000000000001E-2</v>
      </c>
      <c r="F44" s="17"/>
      <c r="G44" s="21">
        <f t="shared" si="13"/>
        <v>0.96640000000000004</v>
      </c>
      <c r="H44" s="21">
        <f t="shared" si="13"/>
        <v>0.97719999999999996</v>
      </c>
      <c r="I44" s="21">
        <f t="shared" si="13"/>
        <v>0.74970000000000003</v>
      </c>
      <c r="J44" s="21">
        <f t="shared" si="13"/>
        <v>1.0731999999999999</v>
      </c>
      <c r="K44" s="17"/>
      <c r="L44" s="17">
        <f t="shared" ca="1" si="12"/>
        <v>76</v>
      </c>
      <c r="M44" s="17">
        <f t="shared" ca="1" si="12"/>
        <v>95</v>
      </c>
      <c r="N44" s="17">
        <f t="shared" ca="1" si="12"/>
        <v>89</v>
      </c>
      <c r="O44" s="17">
        <f t="shared" ca="1" si="12"/>
        <v>50</v>
      </c>
      <c r="P44" s="17">
        <f t="shared" ca="1" si="1"/>
        <v>310</v>
      </c>
      <c r="Q44" s="21">
        <f t="shared" ca="1" si="2"/>
        <v>0.24516129032258063</v>
      </c>
      <c r="R44" s="21">
        <f t="shared" ca="1" si="3"/>
        <v>0.30645161290322581</v>
      </c>
      <c r="S44" s="21">
        <f t="shared" ca="1" si="4"/>
        <v>0.2870967741935484</v>
      </c>
      <c r="T44" s="21">
        <f t="shared" ca="1" si="5"/>
        <v>0.16129032258064516</v>
      </c>
      <c r="U44" s="21">
        <f t="shared" ca="1" si="6"/>
        <v>1</v>
      </c>
      <c r="V44" s="22" t="str">
        <f t="shared" ca="1" si="9"/>
        <v>✅ OK</v>
      </c>
      <c r="W44" s="21"/>
      <c r="X44" s="21"/>
      <c r="Y44" s="21">
        <f t="array" aca="1" ref="Y44" ca="1">MMULT(MMULT(Q44:T44,$G$59:$J$62),TRANSPOSE(Q44:T44))</f>
        <v>5.6189858316047628E-2</v>
      </c>
      <c r="Z44" s="23">
        <f t="shared" ca="1" si="7"/>
        <v>9.2734408030484369E-2</v>
      </c>
      <c r="AA44" s="17"/>
      <c r="AB44" s="17"/>
      <c r="AC44" s="17"/>
      <c r="AD44" s="17"/>
    </row>
    <row r="45" spans="1:30" ht="20.25" customHeight="1" x14ac:dyDescent="0.2">
      <c r="A45" s="24">
        <v>2006</v>
      </c>
      <c r="B45" s="25">
        <v>0.24030000000000001</v>
      </c>
      <c r="C45" s="25">
        <v>0.13039999999999999</v>
      </c>
      <c r="D45" s="25">
        <v>0.21970000000000001</v>
      </c>
      <c r="E45" s="26">
        <v>0.16200000000000001</v>
      </c>
      <c r="F45" s="17"/>
      <c r="G45" s="21">
        <f t="shared" si="13"/>
        <v>1.2403</v>
      </c>
      <c r="H45" s="21">
        <f t="shared" si="13"/>
        <v>1.1304000000000001</v>
      </c>
      <c r="I45" s="21">
        <f t="shared" si="13"/>
        <v>1.2197</v>
      </c>
      <c r="J45" s="21">
        <f t="shared" si="13"/>
        <v>1.1619999999999999</v>
      </c>
      <c r="K45" s="17"/>
      <c r="L45" s="17">
        <f t="shared" ca="1" si="12"/>
        <v>31</v>
      </c>
      <c r="M45" s="17">
        <f t="shared" ca="1" si="12"/>
        <v>13</v>
      </c>
      <c r="N45" s="17">
        <f t="shared" ca="1" si="12"/>
        <v>66</v>
      </c>
      <c r="O45" s="17">
        <f t="shared" ca="1" si="12"/>
        <v>15</v>
      </c>
      <c r="P45" s="17">
        <f t="shared" ca="1" si="1"/>
        <v>125</v>
      </c>
      <c r="Q45" s="21">
        <f t="shared" ca="1" si="2"/>
        <v>0.248</v>
      </c>
      <c r="R45" s="21">
        <f t="shared" ca="1" si="3"/>
        <v>0.104</v>
      </c>
      <c r="S45" s="21">
        <f t="shared" ca="1" si="4"/>
        <v>0.52800000000000002</v>
      </c>
      <c r="T45" s="21">
        <f t="shared" ca="1" si="5"/>
        <v>0.12</v>
      </c>
      <c r="U45" s="21">
        <f t="shared" ca="1" si="6"/>
        <v>1</v>
      </c>
      <c r="V45" s="22" t="str">
        <f t="shared" ca="1" si="9"/>
        <v>✅ OK</v>
      </c>
      <c r="W45" s="21"/>
      <c r="X45" s="21"/>
      <c r="Y45" s="21">
        <f t="array" aca="1" ref="Y45" ca="1">MMULT(MMULT(Q45:T45,$G$59:$J$62),TRANSPOSE(Q45:T45))</f>
        <v>8.0974908861380923E-2</v>
      </c>
      <c r="Z45" s="23">
        <f t="shared" ca="1" si="7"/>
        <v>8.7348480007724966E-2</v>
      </c>
      <c r="AA45" s="17"/>
      <c r="AB45" s="17"/>
      <c r="AC45" s="17"/>
      <c r="AD45" s="17"/>
    </row>
    <row r="46" spans="1:30" ht="20.25" customHeight="1" x14ac:dyDescent="0.2">
      <c r="A46" s="24">
        <v>2007</v>
      </c>
      <c r="B46" s="25">
        <v>3.78E-2</v>
      </c>
      <c r="C46" s="25">
        <v>0.1419</v>
      </c>
      <c r="D46" s="25">
        <v>-0.26329999999999998</v>
      </c>
      <c r="E46" s="26">
        <v>7.3200000000000001E-2</v>
      </c>
      <c r="F46" s="17"/>
      <c r="G46" s="21">
        <f t="shared" si="13"/>
        <v>1.0378000000000001</v>
      </c>
      <c r="H46" s="21">
        <f t="shared" si="13"/>
        <v>1.1418999999999999</v>
      </c>
      <c r="I46" s="21">
        <f t="shared" si="13"/>
        <v>0.73670000000000002</v>
      </c>
      <c r="J46" s="21">
        <f t="shared" si="13"/>
        <v>1.0731999999999999</v>
      </c>
      <c r="K46" s="17"/>
      <c r="L46" s="17">
        <f t="shared" ca="1" si="12"/>
        <v>88</v>
      </c>
      <c r="M46" s="17">
        <f t="shared" ca="1" si="12"/>
        <v>65</v>
      </c>
      <c r="N46" s="17">
        <f t="shared" ca="1" si="12"/>
        <v>60</v>
      </c>
      <c r="O46" s="17">
        <f t="shared" ca="1" si="12"/>
        <v>98</v>
      </c>
      <c r="P46" s="17">
        <f t="shared" ca="1" si="1"/>
        <v>311</v>
      </c>
      <c r="Q46" s="21">
        <f t="shared" ca="1" si="2"/>
        <v>0.28295819935691319</v>
      </c>
      <c r="R46" s="21">
        <f t="shared" ca="1" si="3"/>
        <v>0.20900321543408359</v>
      </c>
      <c r="S46" s="21">
        <f t="shared" ca="1" si="4"/>
        <v>0.19292604501607716</v>
      </c>
      <c r="T46" s="21">
        <f t="shared" ca="1" si="5"/>
        <v>0.31511254019292606</v>
      </c>
      <c r="U46" s="21">
        <f t="shared" ca="1" si="6"/>
        <v>1</v>
      </c>
      <c r="V46" s="22" t="str">
        <f t="shared" ca="1" si="9"/>
        <v>✅ OK</v>
      </c>
      <c r="W46" s="21"/>
      <c r="X46" s="21"/>
      <c r="Y46" s="21">
        <f t="array" aca="1" ref="Y46" ca="1">MMULT(MMULT(Q46:T46,$G$59:$J$62),TRANSPOSE(Q46:T46))</f>
        <v>4.5713744910563063E-2</v>
      </c>
      <c r="Z46" s="23">
        <f t="shared" ca="1" si="7"/>
        <v>0.11279904643922681</v>
      </c>
      <c r="AA46" s="17"/>
      <c r="AB46" s="17"/>
      <c r="AC46" s="17"/>
      <c r="AD46" s="17"/>
    </row>
    <row r="47" spans="1:30" ht="20.25" customHeight="1" x14ac:dyDescent="0.2">
      <c r="A47" s="24">
        <v>2008</v>
      </c>
      <c r="B47" s="25">
        <v>-0.29060000000000002</v>
      </c>
      <c r="C47" s="25">
        <v>-0.31240000000000001</v>
      </c>
      <c r="D47" s="25">
        <v>-0.59340000000000004</v>
      </c>
      <c r="E47" s="26">
        <v>-0.38300000000000001</v>
      </c>
      <c r="F47" s="17"/>
      <c r="G47" s="21">
        <f t="shared" si="13"/>
        <v>0.70940000000000003</v>
      </c>
      <c r="H47" s="21">
        <f t="shared" si="13"/>
        <v>0.68759999999999999</v>
      </c>
      <c r="I47" s="21">
        <f t="shared" si="13"/>
        <v>0.40659999999999996</v>
      </c>
      <c r="J47" s="21">
        <f t="shared" si="13"/>
        <v>0.61699999999999999</v>
      </c>
      <c r="K47" s="17"/>
      <c r="L47" s="17">
        <f t="shared" ca="1" si="12"/>
        <v>29</v>
      </c>
      <c r="M47" s="17">
        <f t="shared" ca="1" si="12"/>
        <v>74</v>
      </c>
      <c r="N47" s="17">
        <f t="shared" ca="1" si="12"/>
        <v>71</v>
      </c>
      <c r="O47" s="17">
        <f t="shared" ca="1" si="12"/>
        <v>95</v>
      </c>
      <c r="P47" s="17">
        <f t="shared" ca="1" si="1"/>
        <v>269</v>
      </c>
      <c r="Q47" s="21">
        <f t="shared" ca="1" si="2"/>
        <v>0.10780669144981413</v>
      </c>
      <c r="R47" s="21">
        <f t="shared" ca="1" si="3"/>
        <v>0.27509293680297398</v>
      </c>
      <c r="S47" s="21">
        <f t="shared" ca="1" si="4"/>
        <v>0.26394052044609667</v>
      </c>
      <c r="T47" s="21">
        <f t="shared" ca="1" si="5"/>
        <v>0.35315985130111527</v>
      </c>
      <c r="U47" s="21">
        <f t="shared" ca="1" si="6"/>
        <v>1</v>
      </c>
      <c r="V47" s="22" t="str">
        <f t="shared" ca="1" si="9"/>
        <v>✅ OK</v>
      </c>
      <c r="W47" s="21"/>
      <c r="X47" s="21"/>
      <c r="Y47" s="21">
        <f t="array" aca="1" ref="Y47" ca="1">MMULT(MMULT(Q47:T47,$G$59:$J$62),TRANSPOSE(Q47:T47))</f>
        <v>4.9307560008120921E-2</v>
      </c>
      <c r="Z47" s="23">
        <f t="shared" ca="1" si="7"/>
        <v>0.11776195460464514</v>
      </c>
      <c r="AA47" s="17"/>
      <c r="AB47" s="17"/>
      <c r="AC47" s="17"/>
      <c r="AD47" s="17"/>
    </row>
    <row r="48" spans="1:30" ht="20.25" customHeight="1" x14ac:dyDescent="0.2">
      <c r="A48" s="24">
        <v>2009</v>
      </c>
      <c r="B48" s="25">
        <v>0.51129999999999998</v>
      </c>
      <c r="C48" s="25">
        <v>0.31340000000000001</v>
      </c>
      <c r="D48" s="25">
        <v>0.78349999999999997</v>
      </c>
      <c r="E48" s="26">
        <v>0.31609999999999999</v>
      </c>
      <c r="F48" s="17"/>
      <c r="G48" s="21">
        <f t="shared" si="13"/>
        <v>1.5112999999999999</v>
      </c>
      <c r="H48" s="21">
        <f t="shared" si="13"/>
        <v>1.3134000000000001</v>
      </c>
      <c r="I48" s="21">
        <f t="shared" si="13"/>
        <v>1.7835000000000001</v>
      </c>
      <c r="J48" s="21">
        <f t="shared" si="13"/>
        <v>1.3161</v>
      </c>
      <c r="K48" s="17"/>
      <c r="L48" s="17">
        <f t="shared" ca="1" si="12"/>
        <v>82</v>
      </c>
      <c r="M48" s="17">
        <f t="shared" ca="1" si="12"/>
        <v>30</v>
      </c>
      <c r="N48" s="17">
        <f t="shared" ca="1" si="12"/>
        <v>93</v>
      </c>
      <c r="O48" s="17">
        <f t="shared" ca="1" si="12"/>
        <v>31</v>
      </c>
      <c r="P48" s="17">
        <f t="shared" ca="1" si="1"/>
        <v>236</v>
      </c>
      <c r="Q48" s="21">
        <f t="shared" ca="1" si="2"/>
        <v>0.34745762711864409</v>
      </c>
      <c r="R48" s="21">
        <f t="shared" ca="1" si="3"/>
        <v>0.1271186440677966</v>
      </c>
      <c r="S48" s="21">
        <f t="shared" ca="1" si="4"/>
        <v>0.3940677966101695</v>
      </c>
      <c r="T48" s="21">
        <f t="shared" ca="1" si="5"/>
        <v>0.13135593220338984</v>
      </c>
      <c r="U48" s="21">
        <f t="shared" ca="1" si="6"/>
        <v>1</v>
      </c>
      <c r="V48" s="22" t="str">
        <f t="shared" ca="1" si="9"/>
        <v>✅ OK</v>
      </c>
      <c r="W48" s="21"/>
      <c r="X48" s="21"/>
      <c r="Y48" s="21">
        <f t="array" aca="1" ref="Y48" ca="1">MMULT(MMULT(Q48:T48,$G$59:$J$62),TRANSPOSE(Q48:T48))</f>
        <v>6.7729343710833154E-2</v>
      </c>
      <c r="Z48" s="23">
        <f t="shared" ca="1" si="7"/>
        <v>8.8829752849789501E-2</v>
      </c>
      <c r="AA48" s="17"/>
      <c r="AB48" s="17"/>
      <c r="AC48" s="17"/>
      <c r="AD48" s="17"/>
    </row>
    <row r="49" spans="1:30" ht="20.25" customHeight="1" x14ac:dyDescent="0.2">
      <c r="A49" s="24">
        <v>2010</v>
      </c>
      <c r="B49" s="25">
        <v>0.18060000000000001</v>
      </c>
      <c r="C49" s="25">
        <v>-2.5600000000000001E-2</v>
      </c>
      <c r="D49" s="25">
        <v>0.2089</v>
      </c>
      <c r="E49" s="26">
        <v>0.1789</v>
      </c>
      <c r="F49" s="17"/>
      <c r="G49" s="21">
        <f t="shared" si="13"/>
        <v>1.1806000000000001</v>
      </c>
      <c r="H49" s="21">
        <f t="shared" si="13"/>
        <v>0.97440000000000004</v>
      </c>
      <c r="I49" s="21">
        <f t="shared" si="13"/>
        <v>1.2089000000000001</v>
      </c>
      <c r="J49" s="21">
        <f t="shared" si="13"/>
        <v>1.1789000000000001</v>
      </c>
      <c r="K49" s="17"/>
      <c r="L49" s="17">
        <f t="shared" ca="1" si="12"/>
        <v>70</v>
      </c>
      <c r="M49" s="17">
        <f t="shared" ca="1" si="12"/>
        <v>4</v>
      </c>
      <c r="N49" s="17">
        <f t="shared" ca="1" si="12"/>
        <v>69</v>
      </c>
      <c r="O49" s="17">
        <f t="shared" ca="1" si="12"/>
        <v>28</v>
      </c>
      <c r="P49" s="17">
        <f t="shared" ca="1" si="1"/>
        <v>171</v>
      </c>
      <c r="Q49" s="21">
        <f t="shared" ca="1" si="2"/>
        <v>0.40935672514619881</v>
      </c>
      <c r="R49" s="21">
        <f t="shared" ca="1" si="3"/>
        <v>2.3391812865497075E-2</v>
      </c>
      <c r="S49" s="21">
        <f t="shared" ca="1" si="4"/>
        <v>0.40350877192982454</v>
      </c>
      <c r="T49" s="21">
        <f t="shared" ca="1" si="5"/>
        <v>0.16374269005847952</v>
      </c>
      <c r="U49" s="21">
        <f t="shared" ca="1" si="6"/>
        <v>1</v>
      </c>
      <c r="V49" s="22" t="str">
        <f t="shared" ca="1" si="9"/>
        <v>✅ OK</v>
      </c>
      <c r="W49" s="21"/>
      <c r="X49" s="21"/>
      <c r="Y49" s="21">
        <f t="array" aca="1" ref="Y49" ca="1">MMULT(MMULT(Q49:T49,$G$59:$J$62),TRANSPOSE(Q49:T49))</f>
        <v>6.9943078445642709E-2</v>
      </c>
      <c r="Z49" s="23">
        <f t="shared" ca="1" si="7"/>
        <v>9.3054295933882911E-2</v>
      </c>
      <c r="AA49" s="17"/>
      <c r="AB49" s="17"/>
      <c r="AC49" s="17"/>
      <c r="AD49" s="17"/>
    </row>
    <row r="50" spans="1:30" ht="20.25" customHeight="1" x14ac:dyDescent="0.2">
      <c r="A50" s="24">
        <v>2011</v>
      </c>
      <c r="B50" s="25">
        <v>-9.7100000000000006E-2</v>
      </c>
      <c r="C50" s="25">
        <v>-9.5199999999999993E-2</v>
      </c>
      <c r="D50" s="25">
        <v>-0.15770000000000001</v>
      </c>
      <c r="E50" s="26">
        <v>-8.9999999999999993E-3</v>
      </c>
      <c r="F50" s="17"/>
      <c r="G50" s="21">
        <f t="shared" si="13"/>
        <v>0.90290000000000004</v>
      </c>
      <c r="H50" s="21">
        <f t="shared" si="13"/>
        <v>0.90480000000000005</v>
      </c>
      <c r="I50" s="21">
        <f t="shared" si="13"/>
        <v>0.84230000000000005</v>
      </c>
      <c r="J50" s="21">
        <f t="shared" si="13"/>
        <v>0.99099999999999999</v>
      </c>
      <c r="K50" s="17"/>
      <c r="L50" s="17">
        <f t="shared" ref="L50:O65" ca="1" si="14">RANDBETWEEN(0,100)</f>
        <v>70</v>
      </c>
      <c r="M50" s="17">
        <f t="shared" ca="1" si="14"/>
        <v>71</v>
      </c>
      <c r="N50" s="17">
        <f t="shared" ca="1" si="14"/>
        <v>17</v>
      </c>
      <c r="O50" s="17">
        <f t="shared" ca="1" si="14"/>
        <v>4</v>
      </c>
      <c r="P50" s="17">
        <f t="shared" ca="1" si="1"/>
        <v>162</v>
      </c>
      <c r="Q50" s="21">
        <f t="shared" ca="1" si="2"/>
        <v>0.43209876543209874</v>
      </c>
      <c r="R50" s="21">
        <f t="shared" ca="1" si="3"/>
        <v>0.43827160493827161</v>
      </c>
      <c r="S50" s="21">
        <f t="shared" ca="1" si="4"/>
        <v>0.10493827160493827</v>
      </c>
      <c r="T50" s="21">
        <f t="shared" ca="1" si="5"/>
        <v>2.4691358024691357E-2</v>
      </c>
      <c r="U50" s="21">
        <f t="shared" ca="1" si="6"/>
        <v>1</v>
      </c>
      <c r="V50" s="22" t="str">
        <f t="shared" ca="1" si="9"/>
        <v>✅ OK</v>
      </c>
      <c r="W50" s="21"/>
      <c r="X50" s="21"/>
      <c r="Y50" s="21">
        <f t="array" aca="1" ref="Y50" ca="1">MMULT(MMULT(Q50:T50,$G$59:$J$62),TRANSPOSE(Q50:T50))</f>
        <v>4.9658310928541845E-2</v>
      </c>
      <c r="Z50" s="23">
        <f t="shared" ca="1" si="7"/>
        <v>7.491637840272132E-2</v>
      </c>
      <c r="AA50" s="17"/>
      <c r="AB50" s="17"/>
      <c r="AC50" s="17"/>
      <c r="AD50" s="17"/>
    </row>
    <row r="51" spans="1:30" ht="19.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>
        <f t="shared" ca="1" si="14"/>
        <v>14</v>
      </c>
      <c r="M51" s="17">
        <f t="shared" ca="1" si="14"/>
        <v>63</v>
      </c>
      <c r="N51" s="17">
        <f t="shared" ca="1" si="14"/>
        <v>79</v>
      </c>
      <c r="O51" s="17">
        <f t="shared" ca="1" si="14"/>
        <v>81</v>
      </c>
      <c r="P51" s="17">
        <f t="shared" ca="1" si="1"/>
        <v>237</v>
      </c>
      <c r="Q51" s="21">
        <f t="shared" ca="1" si="2"/>
        <v>5.9071729957805907E-2</v>
      </c>
      <c r="R51" s="21">
        <f t="shared" ca="1" si="3"/>
        <v>0.26582278481012656</v>
      </c>
      <c r="S51" s="21">
        <f t="shared" ca="1" si="4"/>
        <v>0.33333333333333331</v>
      </c>
      <c r="T51" s="21">
        <f t="shared" ca="1" si="5"/>
        <v>0.34177215189873417</v>
      </c>
      <c r="U51" s="21">
        <f t="shared" ca="1" si="6"/>
        <v>1</v>
      </c>
      <c r="V51" s="22" t="str">
        <f t="shared" ca="1" si="9"/>
        <v>✅ OK</v>
      </c>
      <c r="W51" s="21"/>
      <c r="X51" s="21"/>
      <c r="Y51" s="21">
        <f t="array" aca="1" ref="Y51" ca="1">MMULT(MMULT(Q51:T51,$G$59:$J$62),TRANSPOSE(Q51:T51))</f>
        <v>5.4607289897934508E-2</v>
      </c>
      <c r="Z51" s="23">
        <f t="shared" ca="1" si="7"/>
        <v>0.11627653803502999</v>
      </c>
      <c r="AA51" s="17"/>
      <c r="AB51" s="17"/>
      <c r="AC51" s="17"/>
      <c r="AD51" s="17"/>
    </row>
    <row r="52" spans="1:30" ht="19.5" customHeight="1" x14ac:dyDescent="0.2">
      <c r="A52" s="17"/>
      <c r="B52" s="17"/>
      <c r="C52" s="17"/>
      <c r="D52" s="17"/>
      <c r="E52" s="17"/>
      <c r="F52" s="17" t="s">
        <v>148</v>
      </c>
      <c r="G52" s="21">
        <f t="shared" ref="G52:J52" si="15">(PRODUCT(G3:G50))^(1/48)-1</f>
        <v>0.13044044430120416</v>
      </c>
      <c r="H52" s="21">
        <f t="shared" si="15"/>
        <v>7.1695626691580472E-2</v>
      </c>
      <c r="I52" s="21">
        <f t="shared" si="15"/>
        <v>6.3819172961260717E-2</v>
      </c>
      <c r="J52" s="21">
        <f t="shared" si="15"/>
        <v>9.5109276725081848E-2</v>
      </c>
      <c r="K52" s="17"/>
      <c r="L52" s="17">
        <f t="shared" ca="1" si="14"/>
        <v>39</v>
      </c>
      <c r="M52" s="17">
        <f t="shared" ca="1" si="14"/>
        <v>20</v>
      </c>
      <c r="N52" s="17">
        <f t="shared" ca="1" si="14"/>
        <v>19</v>
      </c>
      <c r="O52" s="17">
        <f t="shared" ca="1" si="14"/>
        <v>39</v>
      </c>
      <c r="P52" s="17">
        <f t="shared" ca="1" si="1"/>
        <v>117</v>
      </c>
      <c r="Q52" s="21">
        <f t="shared" ca="1" si="2"/>
        <v>0.33333333333333331</v>
      </c>
      <c r="R52" s="21">
        <f t="shared" ca="1" si="3"/>
        <v>0.17094017094017094</v>
      </c>
      <c r="S52" s="21">
        <f t="shared" ca="1" si="4"/>
        <v>0.1623931623931624</v>
      </c>
      <c r="T52" s="21">
        <f t="shared" ca="1" si="5"/>
        <v>0.33333333333333331</v>
      </c>
      <c r="U52" s="21">
        <f t="shared" ca="1" si="6"/>
        <v>1</v>
      </c>
      <c r="V52" s="22" t="str">
        <f t="shared" ca="1" si="9"/>
        <v>✅ OK</v>
      </c>
      <c r="W52" s="21"/>
      <c r="X52" s="21"/>
      <c r="Y52" s="21">
        <f t="array" aca="1" ref="Y52" ca="1">MMULT(MMULT(Q52:T52,$G$59:$J$62),TRANSPOSE(Q52:T52))</f>
        <v>4.3706016274303192E-2</v>
      </c>
      <c r="Z52" s="23">
        <f t="shared" ca="1" si="7"/>
        <v>0.11517577479198185</v>
      </c>
      <c r="AA52" s="17"/>
      <c r="AB52" s="17"/>
      <c r="AC52" s="17"/>
      <c r="AD52" s="17"/>
    </row>
    <row r="53" spans="1:30" ht="19.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>
        <f t="shared" ca="1" si="14"/>
        <v>50</v>
      </c>
      <c r="M53" s="17">
        <f t="shared" ca="1" si="14"/>
        <v>94</v>
      </c>
      <c r="N53" s="17">
        <f t="shared" ca="1" si="14"/>
        <v>81</v>
      </c>
      <c r="O53" s="17">
        <f t="shared" ca="1" si="14"/>
        <v>71</v>
      </c>
      <c r="P53" s="17">
        <f t="shared" ca="1" si="1"/>
        <v>296</v>
      </c>
      <c r="Q53" s="21">
        <f t="shared" ca="1" si="2"/>
        <v>0.16891891891891891</v>
      </c>
      <c r="R53" s="21">
        <f t="shared" ca="1" si="3"/>
        <v>0.31756756756756754</v>
      </c>
      <c r="S53" s="21">
        <f t="shared" ca="1" si="4"/>
        <v>0.27364864864864863</v>
      </c>
      <c r="T53" s="21">
        <f t="shared" ca="1" si="5"/>
        <v>0.23986486486486486</v>
      </c>
      <c r="U53" s="21">
        <f t="shared" ca="1" si="6"/>
        <v>1</v>
      </c>
      <c r="V53" s="22" t="str">
        <f t="shared" ca="1" si="9"/>
        <v>✅ OK</v>
      </c>
      <c r="W53" s="21"/>
      <c r="X53" s="21"/>
      <c r="Y53" s="21">
        <f t="array" aca="1" ref="Y53" ca="1">MMULT(MMULT(Q53:T53,$G$59:$J$62),TRANSPOSE(Q53:T53))</f>
        <v>5.2877460467722522E-2</v>
      </c>
      <c r="Z53" s="23">
        <f t="shared" ca="1" si="7"/>
        <v>0.10298370623680174</v>
      </c>
      <c r="AA53" s="17"/>
      <c r="AB53" s="17"/>
      <c r="AC53" s="17"/>
      <c r="AD53" s="17"/>
    </row>
    <row r="54" spans="1:30" ht="19.5" customHeight="1" x14ac:dyDescent="0.2">
      <c r="A54" s="17"/>
      <c r="B54" s="17"/>
      <c r="C54" s="17"/>
      <c r="D54" s="17"/>
      <c r="E54" s="17"/>
      <c r="F54" s="17" t="s">
        <v>141</v>
      </c>
      <c r="G54" s="21">
        <f t="shared" ref="G54:J54" si="16">_xlfn.VAR.S(G3:G50)</f>
        <v>5.1874700407801906E-2</v>
      </c>
      <c r="H54" s="21">
        <f t="shared" si="16"/>
        <v>6.6982267335992426E-2</v>
      </c>
      <c r="I54" s="21">
        <f t="shared" si="16"/>
        <v>0.14841874946365213</v>
      </c>
      <c r="J54" s="21">
        <f t="shared" si="16"/>
        <v>3.1831255208333263E-2</v>
      </c>
      <c r="K54" s="17"/>
      <c r="L54" s="17">
        <f t="shared" ca="1" si="14"/>
        <v>69</v>
      </c>
      <c r="M54" s="17">
        <f t="shared" ca="1" si="14"/>
        <v>14</v>
      </c>
      <c r="N54" s="17">
        <f t="shared" ca="1" si="14"/>
        <v>62</v>
      </c>
      <c r="O54" s="17">
        <f t="shared" ca="1" si="14"/>
        <v>17</v>
      </c>
      <c r="P54" s="17">
        <f t="shared" ca="1" si="1"/>
        <v>162</v>
      </c>
      <c r="Q54" s="21">
        <f t="shared" ca="1" si="2"/>
        <v>0.42592592592592593</v>
      </c>
      <c r="R54" s="21">
        <f t="shared" ca="1" si="3"/>
        <v>8.6419753086419748E-2</v>
      </c>
      <c r="S54" s="21">
        <f t="shared" ca="1" si="4"/>
        <v>0.38271604938271603</v>
      </c>
      <c r="T54" s="21">
        <f t="shared" ca="1" si="5"/>
        <v>0.10493827160493827</v>
      </c>
      <c r="U54" s="21">
        <f t="shared" ca="1" si="6"/>
        <v>1</v>
      </c>
      <c r="V54" s="22" t="str">
        <f t="shared" ca="1" si="9"/>
        <v>✅ OK</v>
      </c>
      <c r="W54" s="21"/>
      <c r="X54" s="21"/>
      <c r="Y54" s="21">
        <f t="array" aca="1" ref="Y54" ca="1">MMULT(MMULT(Q54:T54,$G$59:$J$62),TRANSPOSE(Q54:T54))</f>
        <v>6.886662218728401E-2</v>
      </c>
      <c r="Z54" s="23">
        <f t="shared" ca="1" si="7"/>
        <v>8.538382146392906E-2</v>
      </c>
      <c r="AA54" s="17"/>
      <c r="AB54" s="17"/>
      <c r="AC54" s="17"/>
      <c r="AD54" s="17"/>
    </row>
    <row r="55" spans="1:30" ht="19.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>
        <f t="shared" ca="1" si="14"/>
        <v>10</v>
      </c>
      <c r="M55" s="17">
        <f t="shared" ca="1" si="14"/>
        <v>61</v>
      </c>
      <c r="N55" s="17">
        <f t="shared" ca="1" si="14"/>
        <v>30</v>
      </c>
      <c r="O55" s="17">
        <f t="shared" ca="1" si="14"/>
        <v>85</v>
      </c>
      <c r="P55" s="17">
        <f t="shared" ca="1" si="1"/>
        <v>186</v>
      </c>
      <c r="Q55" s="21">
        <f t="shared" ca="1" si="2"/>
        <v>5.3763440860215055E-2</v>
      </c>
      <c r="R55" s="21">
        <f t="shared" ca="1" si="3"/>
        <v>0.32795698924731181</v>
      </c>
      <c r="S55" s="21">
        <f t="shared" ca="1" si="4"/>
        <v>0.16129032258064516</v>
      </c>
      <c r="T55" s="21">
        <f t="shared" ca="1" si="5"/>
        <v>0.45698924731182794</v>
      </c>
      <c r="U55" s="21">
        <f t="shared" ca="1" si="6"/>
        <v>1</v>
      </c>
      <c r="V55" s="22" t="str">
        <f t="shared" ca="1" si="9"/>
        <v>✅ OK</v>
      </c>
      <c r="W55" s="21"/>
      <c r="X55" s="21"/>
      <c r="Y55" s="21">
        <f t="array" aca="1" ref="Y55" ca="1">MMULT(MMULT(Q55:T55,$G$59:$J$62),TRANSPOSE(Q55:T55))</f>
        <v>4.1276308040061535E-2</v>
      </c>
      <c r="Z55" s="23">
        <f t="shared" ca="1" si="7"/>
        <v>0.13130550715180817</v>
      </c>
      <c r="AA55" s="17"/>
      <c r="AB55" s="17"/>
      <c r="AC55" s="17"/>
      <c r="AD55" s="17"/>
    </row>
    <row r="56" spans="1:30" ht="19.5" customHeight="1" x14ac:dyDescent="0.2">
      <c r="A56" s="17"/>
      <c r="B56" s="17"/>
      <c r="C56" s="17"/>
      <c r="D56" s="17"/>
      <c r="E56" s="17"/>
      <c r="F56" s="17" t="s">
        <v>149</v>
      </c>
      <c r="G56" s="21">
        <f t="shared" ref="G56:J56" si="17">(G54)^0.5</f>
        <v>0.22776018178733942</v>
      </c>
      <c r="H56" s="21">
        <f t="shared" si="17"/>
        <v>0.25880932621525143</v>
      </c>
      <c r="I56" s="21">
        <f t="shared" si="17"/>
        <v>0.38525154050782473</v>
      </c>
      <c r="J56" s="21">
        <f t="shared" si="17"/>
        <v>0.17841315873088864</v>
      </c>
      <c r="K56" s="17"/>
      <c r="L56" s="17">
        <f t="shared" ca="1" si="14"/>
        <v>24</v>
      </c>
      <c r="M56" s="17">
        <f t="shared" ca="1" si="14"/>
        <v>24</v>
      </c>
      <c r="N56" s="17">
        <f t="shared" ca="1" si="14"/>
        <v>52</v>
      </c>
      <c r="O56" s="17">
        <f t="shared" ca="1" si="14"/>
        <v>96</v>
      </c>
      <c r="P56" s="17">
        <f t="shared" ca="1" si="1"/>
        <v>196</v>
      </c>
      <c r="Q56" s="21">
        <f t="shared" ca="1" si="2"/>
        <v>0.12244897959183673</v>
      </c>
      <c r="R56" s="21">
        <f t="shared" ca="1" si="3"/>
        <v>0.12244897959183673</v>
      </c>
      <c r="S56" s="21">
        <f t="shared" ca="1" si="4"/>
        <v>0.26530612244897961</v>
      </c>
      <c r="T56" s="21">
        <f t="shared" ca="1" si="5"/>
        <v>0.48979591836734693</v>
      </c>
      <c r="U56" s="21">
        <f t="shared" ca="1" si="6"/>
        <v>1</v>
      </c>
      <c r="V56" s="22" t="str">
        <f t="shared" ca="1" si="9"/>
        <v>✅ OK</v>
      </c>
      <c r="W56" s="21"/>
      <c r="X56" s="21"/>
      <c r="Y56" s="21">
        <f t="array" aca="1" ref="Y56" ca="1">MMULT(MMULT(Q56:T56,$G$59:$J$62),TRANSPOSE(Q56:T56))</f>
        <v>4.7286467771715579E-2</v>
      </c>
      <c r="Z56" s="23">
        <f t="shared" ca="1" si="7"/>
        <v>0.13558482390033352</v>
      </c>
      <c r="AA56" s="17"/>
      <c r="AB56" s="17"/>
      <c r="AC56" s="17"/>
      <c r="AD56" s="17"/>
    </row>
    <row r="57" spans="1:30" ht="19.5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>
        <f t="shared" ca="1" si="14"/>
        <v>55</v>
      </c>
      <c r="M57" s="17">
        <f t="shared" ca="1" si="14"/>
        <v>37</v>
      </c>
      <c r="N57" s="17">
        <f t="shared" ca="1" si="14"/>
        <v>69</v>
      </c>
      <c r="O57" s="17">
        <f t="shared" ca="1" si="14"/>
        <v>43</v>
      </c>
      <c r="P57" s="17">
        <f t="shared" ca="1" si="1"/>
        <v>204</v>
      </c>
      <c r="Q57" s="21">
        <f t="shared" ca="1" si="2"/>
        <v>0.26960784313725489</v>
      </c>
      <c r="R57" s="21">
        <f t="shared" ca="1" si="3"/>
        <v>0.18137254901960784</v>
      </c>
      <c r="S57" s="21">
        <f t="shared" ca="1" si="4"/>
        <v>0.33823529411764708</v>
      </c>
      <c r="T57" s="21">
        <f t="shared" ca="1" si="5"/>
        <v>0.2107843137254902</v>
      </c>
      <c r="U57" s="21">
        <f t="shared" ca="1" si="6"/>
        <v>1</v>
      </c>
      <c r="V57" s="22" t="str">
        <f t="shared" ca="1" si="9"/>
        <v>✅ OK</v>
      </c>
      <c r="W57" s="21"/>
      <c r="X57" s="21"/>
      <c r="Y57" s="21">
        <f t="array" aca="1" ref="Y57" ca="1">MMULT(MMULT(Q57:T57,$G$59:$J$62),TRANSPOSE(Q57:T57))</f>
        <v>5.9293854903637588E-2</v>
      </c>
      <c r="Z57" s="23">
        <f t="shared" ca="1" si="7"/>
        <v>9.9190426225657824E-2</v>
      </c>
      <c r="AA57" s="17"/>
      <c r="AB57" s="17"/>
      <c r="AC57" s="17"/>
      <c r="AD57" s="17"/>
    </row>
    <row r="58" spans="1:30" ht="19.5" customHeight="1" x14ac:dyDescent="0.2">
      <c r="A58" s="17"/>
      <c r="B58" s="17"/>
      <c r="C58" s="17"/>
      <c r="D58" s="17"/>
      <c r="E58" s="17"/>
      <c r="F58" s="27" t="s">
        <v>141</v>
      </c>
      <c r="G58" s="27" t="s">
        <v>150</v>
      </c>
      <c r="H58" s="27" t="s">
        <v>151</v>
      </c>
      <c r="I58" s="27" t="s">
        <v>152</v>
      </c>
      <c r="J58" s="27" t="s">
        <v>153</v>
      </c>
      <c r="K58" s="17"/>
      <c r="L58" s="17">
        <f t="shared" ca="1" si="14"/>
        <v>80</v>
      </c>
      <c r="M58" s="17">
        <f t="shared" ca="1" si="14"/>
        <v>6</v>
      </c>
      <c r="N58" s="17">
        <f t="shared" ca="1" si="14"/>
        <v>5</v>
      </c>
      <c r="O58" s="17">
        <f t="shared" ca="1" si="14"/>
        <v>81</v>
      </c>
      <c r="P58" s="17">
        <f t="shared" ca="1" si="1"/>
        <v>172</v>
      </c>
      <c r="Q58" s="21">
        <f t="shared" ca="1" si="2"/>
        <v>0.46511627906976744</v>
      </c>
      <c r="R58" s="21">
        <f t="shared" ca="1" si="3"/>
        <v>3.4883720930232558E-2</v>
      </c>
      <c r="S58" s="21">
        <f t="shared" ca="1" si="4"/>
        <v>2.9069767441860465E-2</v>
      </c>
      <c r="T58" s="21">
        <f t="shared" ca="1" si="5"/>
        <v>0.47093023255813954</v>
      </c>
      <c r="U58" s="21">
        <f t="shared" ca="1" si="6"/>
        <v>1</v>
      </c>
      <c r="V58" s="22" t="str">
        <f t="shared" ca="1" si="9"/>
        <v>✅ OK</v>
      </c>
      <c r="W58" s="21"/>
      <c r="X58" s="21"/>
      <c r="Y58" s="21">
        <f t="array" aca="1" ref="Y58" ca="1">MMULT(MMULT(Q58:T58,$G$59:$J$62),TRANSPOSE(Q58:T58))</f>
        <v>3.5624993693569834E-2</v>
      </c>
      <c r="Z58" s="23">
        <f t="shared" ca="1" si="7"/>
        <v>0.13312397546133359</v>
      </c>
      <c r="AA58" s="17"/>
      <c r="AB58" s="17"/>
      <c r="AC58" s="17"/>
      <c r="AD58" s="17"/>
    </row>
    <row r="59" spans="1:30" ht="19.5" customHeight="1" x14ac:dyDescent="0.2">
      <c r="A59" s="17"/>
      <c r="B59" s="17"/>
      <c r="C59" s="17"/>
      <c r="D59" s="17"/>
      <c r="E59" s="17"/>
      <c r="F59" s="27" t="s">
        <v>150</v>
      </c>
      <c r="G59" s="28">
        <f>_xlfn.VAR.S(G3:G50)</f>
        <v>5.1874700407801906E-2</v>
      </c>
      <c r="H59" s="28">
        <f>G60</f>
        <v>3.2630578147163122E-2</v>
      </c>
      <c r="I59" s="28">
        <f>G61</f>
        <v>7.4565363679078039E-2</v>
      </c>
      <c r="J59" s="28">
        <f>G62</f>
        <v>2.7193502544326242E-2</v>
      </c>
      <c r="K59" s="17"/>
      <c r="L59" s="17">
        <f t="shared" ca="1" si="14"/>
        <v>34</v>
      </c>
      <c r="M59" s="17">
        <f t="shared" ca="1" si="14"/>
        <v>27</v>
      </c>
      <c r="N59" s="17">
        <f t="shared" ca="1" si="14"/>
        <v>99</v>
      </c>
      <c r="O59" s="17">
        <f t="shared" ca="1" si="14"/>
        <v>98</v>
      </c>
      <c r="P59" s="17">
        <f t="shared" ca="1" si="1"/>
        <v>258</v>
      </c>
      <c r="Q59" s="21">
        <f t="shared" ca="1" si="2"/>
        <v>0.13178294573643412</v>
      </c>
      <c r="R59" s="21">
        <f t="shared" ca="1" si="3"/>
        <v>0.10465116279069768</v>
      </c>
      <c r="S59" s="21">
        <f t="shared" ca="1" si="4"/>
        <v>0.38372093023255816</v>
      </c>
      <c r="T59" s="21">
        <f t="shared" ca="1" si="5"/>
        <v>0.37984496124031009</v>
      </c>
      <c r="U59" s="21">
        <f t="shared" ca="1" si="6"/>
        <v>1</v>
      </c>
      <c r="V59" s="22" t="str">
        <f t="shared" ca="1" si="9"/>
        <v>✅ OK</v>
      </c>
      <c r="W59" s="21"/>
      <c r="X59" s="21"/>
      <c r="Y59" s="21">
        <f t="array" aca="1" ref="Y59" ca="1">MMULT(MMULT(Q59:T59,$G$59:$J$62),TRANSPOSE(Q59:T59))</f>
        <v>5.8912572158478262E-2</v>
      </c>
      <c r="Z59" s="23">
        <f t="shared" ca="1" si="7"/>
        <v>0.12124277220134019</v>
      </c>
      <c r="AA59" s="17"/>
      <c r="AB59" s="17"/>
      <c r="AC59" s="17"/>
      <c r="AD59" s="17"/>
    </row>
    <row r="60" spans="1:30" ht="19.5" customHeight="1" x14ac:dyDescent="0.2">
      <c r="A60" s="17"/>
      <c r="B60" s="17"/>
      <c r="C60" s="17"/>
      <c r="D60" s="17"/>
      <c r="E60" s="17"/>
      <c r="F60" s="27" t="s">
        <v>151</v>
      </c>
      <c r="G60" s="28">
        <f>_xlfn.COVARIANCE.S(G3:G50,H3:H50)</f>
        <v>3.2630578147163122E-2</v>
      </c>
      <c r="H60" s="28">
        <f>_xlfn.VAR.S(H3:H50)</f>
        <v>6.6982267335992426E-2</v>
      </c>
      <c r="I60" s="28">
        <f>H61</f>
        <v>5.4365731165780133E-2</v>
      </c>
      <c r="J60" s="28">
        <f>H62</f>
        <v>2.3670831626773043E-2</v>
      </c>
      <c r="K60" s="17"/>
      <c r="L60" s="17">
        <f t="shared" ca="1" si="14"/>
        <v>29</v>
      </c>
      <c r="M60" s="17">
        <f t="shared" ca="1" si="14"/>
        <v>32</v>
      </c>
      <c r="N60" s="17">
        <f t="shared" ca="1" si="14"/>
        <v>74</v>
      </c>
      <c r="O60" s="17">
        <f t="shared" ca="1" si="14"/>
        <v>83</v>
      </c>
      <c r="P60" s="17">
        <f t="shared" ca="1" si="1"/>
        <v>218</v>
      </c>
      <c r="Q60" s="21">
        <f t="shared" ca="1" si="2"/>
        <v>0.13302752293577982</v>
      </c>
      <c r="R60" s="21">
        <f t="shared" ca="1" si="3"/>
        <v>0.14678899082568808</v>
      </c>
      <c r="S60" s="21">
        <f t="shared" ca="1" si="4"/>
        <v>0.33944954128440369</v>
      </c>
      <c r="T60" s="21">
        <f t="shared" ca="1" si="5"/>
        <v>0.38073394495412843</v>
      </c>
      <c r="U60" s="21">
        <f t="shared" ca="1" si="6"/>
        <v>1</v>
      </c>
      <c r="V60" s="22" t="str">
        <f t="shared" ca="1" si="9"/>
        <v>✅ OK</v>
      </c>
      <c r="W60" s="21"/>
      <c r="X60" s="21"/>
      <c r="Y60" s="21">
        <f t="array" aca="1" ref="Y60" ca="1">MMULT(MMULT(Q60:T60,$G$59:$J$62),TRANSPOSE(Q60:T60))</f>
        <v>5.4803425329152708E-2</v>
      </c>
      <c r="Z60" s="23">
        <f t="shared" ca="1" si="7"/>
        <v>0.12135873163194719</v>
      </c>
      <c r="AA60" s="17"/>
      <c r="AB60" s="17"/>
      <c r="AC60" s="17"/>
      <c r="AD60" s="17"/>
    </row>
    <row r="61" spans="1:30" ht="19.5" customHeight="1" x14ac:dyDescent="0.2">
      <c r="A61" s="17"/>
      <c r="B61" s="17"/>
      <c r="C61" s="17"/>
      <c r="D61" s="17"/>
      <c r="E61" s="17"/>
      <c r="F61" s="27" t="s">
        <v>152</v>
      </c>
      <c r="G61" s="28">
        <f>_xlfn.COVARIANCE.S(G3:G50,I3:I50)</f>
        <v>7.4565363679078039E-2</v>
      </c>
      <c r="H61" s="28">
        <f>_xlfn.COVARIANCE.S(I3:I50,H3:H50)</f>
        <v>5.4365731165780133E-2</v>
      </c>
      <c r="I61" s="28">
        <f>_xlfn.VAR.S(I3:I50)</f>
        <v>0.14841874946365213</v>
      </c>
      <c r="J61" s="28">
        <f>I62</f>
        <v>4.6036548009751772E-2</v>
      </c>
      <c r="K61" s="17"/>
      <c r="L61" s="17">
        <f t="shared" ca="1" si="14"/>
        <v>12</v>
      </c>
      <c r="M61" s="17">
        <f t="shared" ca="1" si="14"/>
        <v>68</v>
      </c>
      <c r="N61" s="17">
        <f t="shared" ca="1" si="14"/>
        <v>29</v>
      </c>
      <c r="O61" s="17">
        <f t="shared" ca="1" si="14"/>
        <v>20</v>
      </c>
      <c r="P61" s="17">
        <f t="shared" ca="1" si="1"/>
        <v>129</v>
      </c>
      <c r="Q61" s="21">
        <f t="shared" ca="1" si="2"/>
        <v>9.3023255813953487E-2</v>
      </c>
      <c r="R61" s="21">
        <f t="shared" ca="1" si="3"/>
        <v>0.52713178294573648</v>
      </c>
      <c r="S61" s="21">
        <f t="shared" ca="1" si="4"/>
        <v>0.22480620155038761</v>
      </c>
      <c r="T61" s="21">
        <f t="shared" ca="1" si="5"/>
        <v>0.15503875968992248</v>
      </c>
      <c r="U61" s="21">
        <f t="shared" ca="1" si="6"/>
        <v>1</v>
      </c>
      <c r="V61" s="22" t="str">
        <f t="shared" ca="1" si="9"/>
        <v>✅ OK</v>
      </c>
      <c r="W61" s="21"/>
      <c r="X61" s="21"/>
      <c r="Y61" s="21">
        <f t="array" aca="1" ref="Y61" ca="1">MMULT(MMULT(Q61:T61,$G$59:$J$62),TRANSPOSE(Q61:T61))</f>
        <v>5.439322220507626E-2</v>
      </c>
      <c r="Z61" s="23">
        <f t="shared" ca="1" si="7"/>
        <v>9.1918951389441589E-2</v>
      </c>
      <c r="AA61" s="17"/>
      <c r="AB61" s="17"/>
      <c r="AC61" s="17"/>
      <c r="AD61" s="17"/>
    </row>
    <row r="62" spans="1:30" ht="19.5" customHeight="1" x14ac:dyDescent="0.2">
      <c r="A62" s="17"/>
      <c r="B62" s="17"/>
      <c r="C62" s="17"/>
      <c r="D62" s="17"/>
      <c r="E62" s="17"/>
      <c r="F62" s="27" t="s">
        <v>153</v>
      </c>
      <c r="G62" s="28">
        <f>_xlfn.COVARIANCE.S(G3:G50,J3:J50)</f>
        <v>2.7193502544326242E-2</v>
      </c>
      <c r="H62" s="28">
        <f>_xlfn.COVARIANCE.S(J3:J50,H3:H50)</f>
        <v>2.3670831626773043E-2</v>
      </c>
      <c r="I62" s="28">
        <f>_xlfn.COVARIANCE.S(I3:I50,J3:J50)</f>
        <v>4.6036548009751772E-2</v>
      </c>
      <c r="J62" s="28">
        <f>_xlfn.VAR.S(J3:J50)</f>
        <v>3.1831255208333263E-2</v>
      </c>
      <c r="K62" s="17"/>
      <c r="L62" s="17">
        <f t="shared" ca="1" si="14"/>
        <v>46</v>
      </c>
      <c r="M62" s="17">
        <f t="shared" ca="1" si="14"/>
        <v>89</v>
      </c>
      <c r="N62" s="17">
        <f t="shared" ca="1" si="14"/>
        <v>11</v>
      </c>
      <c r="O62" s="17">
        <f t="shared" ca="1" si="14"/>
        <v>59</v>
      </c>
      <c r="P62" s="17">
        <f t="shared" ca="1" si="1"/>
        <v>205</v>
      </c>
      <c r="Q62" s="21">
        <f t="shared" ca="1" si="2"/>
        <v>0.22439024390243903</v>
      </c>
      <c r="R62" s="21">
        <f t="shared" ca="1" si="3"/>
        <v>0.43414634146341463</v>
      </c>
      <c r="S62" s="21">
        <f t="shared" ca="1" si="4"/>
        <v>5.3658536585365853E-2</v>
      </c>
      <c r="T62" s="21">
        <f t="shared" ca="1" si="5"/>
        <v>0.28780487804878047</v>
      </c>
      <c r="U62" s="21">
        <f t="shared" ca="1" si="6"/>
        <v>1</v>
      </c>
      <c r="V62" s="22" t="str">
        <f t="shared" ca="1" si="9"/>
        <v>✅ OK</v>
      </c>
      <c r="W62" s="21"/>
      <c r="X62" s="21"/>
      <c r="Y62" s="21">
        <f t="array" aca="1" ref="Y62" ca="1">MMULT(MMULT(Q62:T62,$G$59:$J$62),TRANSPOSE(Q62:T62))</f>
        <v>3.9836691067294275E-2</v>
      </c>
      <c r="Z62" s="23">
        <f t="shared" ca="1" si="7"/>
        <v>0.10923702285631728</v>
      </c>
      <c r="AA62" s="17"/>
      <c r="AB62" s="17"/>
      <c r="AC62" s="17"/>
      <c r="AD62" s="17"/>
    </row>
    <row r="63" spans="1:30" ht="19.5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>
        <f t="shared" ca="1" si="14"/>
        <v>71</v>
      </c>
      <c r="M63" s="17">
        <f t="shared" ca="1" si="14"/>
        <v>76</v>
      </c>
      <c r="N63" s="17">
        <f t="shared" ca="1" si="14"/>
        <v>31</v>
      </c>
      <c r="O63" s="17">
        <f t="shared" ca="1" si="14"/>
        <v>63</v>
      </c>
      <c r="P63" s="17">
        <f t="shared" ca="1" si="1"/>
        <v>241</v>
      </c>
      <c r="Q63" s="21">
        <f t="shared" ca="1" si="2"/>
        <v>0.29460580912863071</v>
      </c>
      <c r="R63" s="21">
        <f t="shared" ca="1" si="3"/>
        <v>0.31535269709543567</v>
      </c>
      <c r="S63" s="21">
        <f t="shared" ca="1" si="4"/>
        <v>0.12863070539419086</v>
      </c>
      <c r="T63" s="21">
        <f t="shared" ca="1" si="5"/>
        <v>0.26141078838174275</v>
      </c>
      <c r="U63" s="21">
        <f t="shared" ca="1" si="6"/>
        <v>1</v>
      </c>
      <c r="V63" s="22" t="str">
        <f t="shared" ca="1" si="9"/>
        <v>✅ OK</v>
      </c>
      <c r="W63" s="21"/>
      <c r="X63" s="21"/>
      <c r="Y63" s="21">
        <f t="array" aca="1" ref="Y63" ca="1">MMULT(MMULT(Q63:T63,$G$59:$J$62),TRANSPOSE(Q63:T63))</f>
        <v>4.3106688599079214E-2</v>
      </c>
      <c r="Z63" s="23">
        <f t="shared" ca="1" si="7"/>
        <v>0.10579416607322306</v>
      </c>
      <c r="AA63" s="17"/>
      <c r="AB63" s="17"/>
      <c r="AC63" s="17"/>
      <c r="AD63" s="17"/>
    </row>
    <row r="64" spans="1:30" ht="19.5" customHeight="1" x14ac:dyDescent="0.2">
      <c r="A64" s="17"/>
      <c r="B64" s="17"/>
      <c r="C64" s="17"/>
      <c r="D64" s="17"/>
      <c r="E64" s="17"/>
      <c r="F64" s="27" t="s">
        <v>154</v>
      </c>
      <c r="G64" s="27" t="s">
        <v>150</v>
      </c>
      <c r="H64" s="27" t="s">
        <v>151</v>
      </c>
      <c r="I64" s="27" t="s">
        <v>152</v>
      </c>
      <c r="J64" s="27" t="s">
        <v>153</v>
      </c>
      <c r="K64" s="17"/>
      <c r="L64" s="17">
        <f t="shared" ca="1" si="14"/>
        <v>91</v>
      </c>
      <c r="M64" s="17">
        <f t="shared" ca="1" si="14"/>
        <v>81</v>
      </c>
      <c r="N64" s="17">
        <f t="shared" ca="1" si="14"/>
        <v>21</v>
      </c>
      <c r="O64" s="17">
        <f t="shared" ca="1" si="14"/>
        <v>45</v>
      </c>
      <c r="P64" s="17">
        <f t="shared" ca="1" si="1"/>
        <v>238</v>
      </c>
      <c r="Q64" s="21">
        <f t="shared" ca="1" si="2"/>
        <v>0.38235294117647056</v>
      </c>
      <c r="R64" s="21">
        <f t="shared" ca="1" si="3"/>
        <v>0.34033613445378152</v>
      </c>
      <c r="S64" s="21">
        <f t="shared" ca="1" si="4"/>
        <v>8.8235294117647065E-2</v>
      </c>
      <c r="T64" s="21">
        <f t="shared" ca="1" si="5"/>
        <v>0.18907563025210083</v>
      </c>
      <c r="U64" s="21">
        <f t="shared" ca="1" si="6"/>
        <v>1</v>
      </c>
      <c r="V64" s="22" t="str">
        <f t="shared" ca="1" si="9"/>
        <v>✅ OK</v>
      </c>
      <c r="W64" s="21"/>
      <c r="X64" s="21"/>
      <c r="Y64" s="21">
        <f t="array" aca="1" ref="Y64" ca="1">MMULT(MMULT(Q64:T64,$G$59:$J$62),TRANSPOSE(Q64:T64))</f>
        <v>4.293872704906674E-2</v>
      </c>
      <c r="Z64" s="23">
        <f t="shared" ca="1" si="7"/>
        <v>9.6358735908194701E-2</v>
      </c>
      <c r="AA64" s="17"/>
      <c r="AB64" s="17"/>
      <c r="AC64" s="17"/>
      <c r="AD64" s="17"/>
    </row>
    <row r="65" spans="1:30" ht="19.5" customHeight="1" x14ac:dyDescent="0.2">
      <c r="A65" s="17"/>
      <c r="B65" s="17"/>
      <c r="C65" s="17"/>
      <c r="D65" s="17"/>
      <c r="E65" s="17"/>
      <c r="F65" s="27" t="s">
        <v>150</v>
      </c>
      <c r="G65" s="28">
        <v>1</v>
      </c>
      <c r="H65" s="28">
        <f>G66</f>
        <v>0.55356298914617164</v>
      </c>
      <c r="I65" s="28">
        <f>G67</f>
        <v>0.84979653434606239</v>
      </c>
      <c r="J65" s="28">
        <f>G68</f>
        <v>0.66920698536051038</v>
      </c>
      <c r="K65" s="17"/>
      <c r="L65" s="17">
        <f t="shared" ca="1" si="14"/>
        <v>34</v>
      </c>
      <c r="M65" s="17">
        <f t="shared" ca="1" si="14"/>
        <v>81</v>
      </c>
      <c r="N65" s="17">
        <f t="shared" ca="1" si="14"/>
        <v>43</v>
      </c>
      <c r="O65" s="17">
        <f t="shared" ca="1" si="14"/>
        <v>100</v>
      </c>
      <c r="P65" s="17">
        <f t="shared" ca="1" si="1"/>
        <v>258</v>
      </c>
      <c r="Q65" s="21">
        <f t="shared" ca="1" si="2"/>
        <v>0.13178294573643412</v>
      </c>
      <c r="R65" s="21">
        <f t="shared" ca="1" si="3"/>
        <v>0.31395348837209303</v>
      </c>
      <c r="S65" s="21">
        <f t="shared" ca="1" si="4"/>
        <v>0.16666666666666666</v>
      </c>
      <c r="T65" s="21">
        <f t="shared" ca="1" si="5"/>
        <v>0.38759689922480622</v>
      </c>
      <c r="U65" s="21">
        <f t="shared" ca="1" si="6"/>
        <v>1</v>
      </c>
      <c r="V65" s="22" t="str">
        <f t="shared" ca="1" si="9"/>
        <v>✅ OK</v>
      </c>
      <c r="W65" s="21"/>
      <c r="X65" s="21"/>
      <c r="Y65" s="21">
        <f t="array" aca="1" ref="Y65" ca="1">MMULT(MMULT(Q65:T65,$G$59:$J$62),TRANSPOSE(Q65:T65))</f>
        <v>4.2559705894725686E-2</v>
      </c>
      <c r="Z65" s="23">
        <f t="shared" ca="1" si="7"/>
        <v>0.12225393843623325</v>
      </c>
      <c r="AA65" s="17"/>
      <c r="AB65" s="17"/>
      <c r="AC65" s="17"/>
      <c r="AD65" s="17"/>
    </row>
    <row r="66" spans="1:30" ht="19.5" customHeight="1" x14ac:dyDescent="0.2">
      <c r="A66" s="17"/>
      <c r="B66" s="17"/>
      <c r="C66" s="17"/>
      <c r="D66" s="17"/>
      <c r="E66" s="17"/>
      <c r="F66" s="27" t="s">
        <v>151</v>
      </c>
      <c r="G66" s="28">
        <f>CORREL(G3:G50,H3:H50)</f>
        <v>0.55356298914617164</v>
      </c>
      <c r="H66" s="28">
        <v>1</v>
      </c>
      <c r="I66" s="28">
        <f>H67</f>
        <v>0.54525659493114176</v>
      </c>
      <c r="J66" s="28">
        <f>H68</f>
        <v>0.5126331794511817</v>
      </c>
      <c r="K66" s="17"/>
      <c r="L66" s="17">
        <f t="shared" ref="L66:O81" ca="1" si="18">RANDBETWEEN(0,100)</f>
        <v>45</v>
      </c>
      <c r="M66" s="17">
        <f t="shared" ca="1" si="18"/>
        <v>75</v>
      </c>
      <c r="N66" s="17">
        <f t="shared" ca="1" si="18"/>
        <v>51</v>
      </c>
      <c r="O66" s="17">
        <f t="shared" ca="1" si="18"/>
        <v>53</v>
      </c>
      <c r="P66" s="17">
        <f t="shared" ca="1" si="1"/>
        <v>224</v>
      </c>
      <c r="Q66" s="21">
        <f t="shared" ca="1" si="2"/>
        <v>0.20089285714285715</v>
      </c>
      <c r="R66" s="21">
        <f t="shared" ca="1" si="3"/>
        <v>0.33482142857142855</v>
      </c>
      <c r="S66" s="21">
        <f t="shared" ca="1" si="4"/>
        <v>0.22767857142857142</v>
      </c>
      <c r="T66" s="21">
        <f t="shared" ca="1" si="5"/>
        <v>0.23660714285714285</v>
      </c>
      <c r="U66" s="21">
        <f t="shared" ca="1" si="6"/>
        <v>1</v>
      </c>
      <c r="V66" s="22" t="str">
        <f t="shared" ca="1" si="9"/>
        <v>✅ OK</v>
      </c>
      <c r="W66" s="21"/>
      <c r="X66" s="21"/>
      <c r="Y66" s="21">
        <f t="array" aca="1" ref="Y66" ca="1">MMULT(MMULT(Q66:T66,$G$59:$J$62),TRANSPOSE(Q66:T66))</f>
        <v>4.9873478309041389E-2</v>
      </c>
      <c r="Z66" s="23">
        <f t="shared" ca="1" si="7"/>
        <v>0.10255876753070467</v>
      </c>
      <c r="AA66" s="17"/>
      <c r="AB66" s="17"/>
      <c r="AC66" s="17"/>
      <c r="AD66" s="17"/>
    </row>
    <row r="67" spans="1:30" ht="19.5" customHeight="1" x14ac:dyDescent="0.2">
      <c r="A67" s="17"/>
      <c r="B67" s="17"/>
      <c r="C67" s="17"/>
      <c r="D67" s="17"/>
      <c r="E67" s="17"/>
      <c r="F67" s="27" t="s">
        <v>152</v>
      </c>
      <c r="G67" s="28">
        <f>CORREL(G3:G50,I3:I50)</f>
        <v>0.84979653434606239</v>
      </c>
      <c r="H67" s="28">
        <f>CORREL(I3:I50,H3:H50)</f>
        <v>0.54525659493114176</v>
      </c>
      <c r="I67" s="28">
        <v>1</v>
      </c>
      <c r="J67" s="28">
        <f>I68</f>
        <v>0.66977893548034129</v>
      </c>
      <c r="K67" s="17"/>
      <c r="L67" s="17">
        <f t="shared" ca="1" si="18"/>
        <v>96</v>
      </c>
      <c r="M67" s="17">
        <f t="shared" ca="1" si="18"/>
        <v>89</v>
      </c>
      <c r="N67" s="17">
        <f t="shared" ca="1" si="18"/>
        <v>17</v>
      </c>
      <c r="O67" s="17">
        <f t="shared" ca="1" si="18"/>
        <v>94</v>
      </c>
      <c r="P67" s="17">
        <f t="shared" ca="1" si="1"/>
        <v>296</v>
      </c>
      <c r="Q67" s="21">
        <f t="shared" ca="1" si="2"/>
        <v>0.32432432432432434</v>
      </c>
      <c r="R67" s="21">
        <f t="shared" ca="1" si="3"/>
        <v>0.30067567567567566</v>
      </c>
      <c r="S67" s="21">
        <f t="shared" ca="1" si="4"/>
        <v>5.7432432432432436E-2</v>
      </c>
      <c r="T67" s="21">
        <f t="shared" ca="1" si="5"/>
        <v>0.31756756756756754</v>
      </c>
      <c r="U67" s="21">
        <f t="shared" ca="1" si="6"/>
        <v>1</v>
      </c>
      <c r="V67" s="22" t="str">
        <f t="shared" ref="V67:V101" ca="1" si="19">IF(ROUND(SUM(Q67:T67),2)=1,"✅ OK","❌ ERREUR")</f>
        <v>✅ OK</v>
      </c>
      <c r="W67" s="21"/>
      <c r="X67" s="21"/>
      <c r="Y67" s="21">
        <f t="array" aca="1" ref="Y67" ca="1">MMULT(MMULT(Q67:T67,$G$59:$J$62),TRANSPOSE(Q67:T67))</f>
        <v>3.803258118626443E-2</v>
      </c>
      <c r="Z67" s="23">
        <f t="shared" ca="1" si="7"/>
        <v>0.11311928130074665</v>
      </c>
      <c r="AA67" s="17"/>
      <c r="AB67" s="17"/>
      <c r="AC67" s="17"/>
      <c r="AD67" s="17"/>
    </row>
    <row r="68" spans="1:30" ht="19.5" customHeight="1" x14ac:dyDescent="0.2">
      <c r="A68" s="17"/>
      <c r="B68" s="17"/>
      <c r="C68" s="17"/>
      <c r="D68" s="17"/>
      <c r="E68" s="17"/>
      <c r="F68" s="27" t="s">
        <v>153</v>
      </c>
      <c r="G68" s="28">
        <f>CORREL(G3:G50,J3:J50)</f>
        <v>0.66920698536051038</v>
      </c>
      <c r="H68" s="28">
        <f>CORREL(J3:J50,H3:H50)</f>
        <v>0.5126331794511817</v>
      </c>
      <c r="I68" s="28">
        <f>CORREL(I3:I50,J3:J50)</f>
        <v>0.66977893548034129</v>
      </c>
      <c r="J68" s="28">
        <v>1</v>
      </c>
      <c r="K68" s="17"/>
      <c r="L68" s="17">
        <f t="shared" ca="1" si="18"/>
        <v>28</v>
      </c>
      <c r="M68" s="17">
        <f t="shared" ca="1" si="18"/>
        <v>18</v>
      </c>
      <c r="N68" s="17">
        <f t="shared" ca="1" si="18"/>
        <v>89</v>
      </c>
      <c r="O68" s="17">
        <f t="shared" ca="1" si="18"/>
        <v>34</v>
      </c>
      <c r="P68" s="17">
        <f t="shared" ca="1" si="1"/>
        <v>169</v>
      </c>
      <c r="Q68" s="21">
        <f t="shared" ca="1" si="2"/>
        <v>0.16568047337278108</v>
      </c>
      <c r="R68" s="21">
        <f t="shared" ca="1" si="3"/>
        <v>0.10650887573964497</v>
      </c>
      <c r="S68" s="21">
        <f t="shared" ca="1" si="4"/>
        <v>0.52662721893491127</v>
      </c>
      <c r="T68" s="21">
        <f t="shared" ca="1" si="5"/>
        <v>0.20118343195266272</v>
      </c>
      <c r="U68" s="21">
        <f t="shared" ca="1" si="6"/>
        <v>1</v>
      </c>
      <c r="V68" s="22" t="str">
        <f t="shared" ca="1" si="19"/>
        <v>✅ OK</v>
      </c>
      <c r="W68" s="21"/>
      <c r="X68" s="21"/>
      <c r="Y68" s="21">
        <f t="array" aca="1" ref="Y68" ca="1">MMULT(MMULT(Q68:T68,$G$59:$J$62),TRANSPOSE(Q68:T68))</f>
        <v>7.7478721983600368E-2</v>
      </c>
      <c r="Z68" s="23">
        <f t="shared" ca="1" si="7"/>
        <v>9.7938082941526866E-2</v>
      </c>
      <c r="AA68" s="17"/>
      <c r="AB68" s="17"/>
      <c r="AC68" s="17"/>
      <c r="AD68" s="17"/>
    </row>
    <row r="69" spans="1:30" ht="19.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>
        <f t="shared" ca="1" si="18"/>
        <v>14</v>
      </c>
      <c r="M69" s="17">
        <f t="shared" ca="1" si="18"/>
        <v>40</v>
      </c>
      <c r="N69" s="17">
        <f t="shared" ca="1" si="18"/>
        <v>4</v>
      </c>
      <c r="O69" s="17">
        <f t="shared" ca="1" si="18"/>
        <v>11</v>
      </c>
      <c r="P69" s="17">
        <f t="shared" ca="1" si="1"/>
        <v>69</v>
      </c>
      <c r="Q69" s="21">
        <f t="shared" ca="1" si="2"/>
        <v>0.20289855072463769</v>
      </c>
      <c r="R69" s="21">
        <f t="shared" ca="1" si="3"/>
        <v>0.57971014492753625</v>
      </c>
      <c r="S69" s="21">
        <f t="shared" ca="1" si="4"/>
        <v>5.7971014492753624E-2</v>
      </c>
      <c r="T69" s="21">
        <f t="shared" ca="1" si="5"/>
        <v>0.15942028985507245</v>
      </c>
      <c r="U69" s="21">
        <f t="shared" ca="1" si="6"/>
        <v>1</v>
      </c>
      <c r="V69" s="22" t="str">
        <f t="shared" ca="1" si="19"/>
        <v>✅ OK</v>
      </c>
      <c r="W69" s="21"/>
      <c r="X69" s="21"/>
      <c r="Y69" s="21">
        <f t="array" aca="1" ref="Y69" ca="1">MMULT(MMULT(Q69:T69,$G$59:$J$62),TRANSPOSE(Q69:T69))</f>
        <v>4.6023335425150982E-2</v>
      </c>
      <c r="Z69" s="23">
        <f t="shared" ca="1" si="7"/>
        <v>9.2490480130902872E-2</v>
      </c>
      <c r="AA69" s="17"/>
      <c r="AB69" s="17"/>
      <c r="AC69" s="17"/>
      <c r="AD69" s="17"/>
    </row>
    <row r="70" spans="1:30" ht="19.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>
        <f t="shared" ca="1" si="18"/>
        <v>37</v>
      </c>
      <c r="M70" s="17">
        <f t="shared" ca="1" si="18"/>
        <v>4</v>
      </c>
      <c r="N70" s="17">
        <f t="shared" ca="1" si="18"/>
        <v>46</v>
      </c>
      <c r="O70" s="17">
        <f t="shared" ca="1" si="18"/>
        <v>73</v>
      </c>
      <c r="P70" s="17">
        <f t="shared" ca="1" si="1"/>
        <v>160</v>
      </c>
      <c r="Q70" s="21">
        <f t="shared" ca="1" si="2"/>
        <v>0.23125000000000001</v>
      </c>
      <c r="R70" s="21">
        <f t="shared" ca="1" si="3"/>
        <v>2.5000000000000001E-2</v>
      </c>
      <c r="S70" s="21">
        <f t="shared" ca="1" si="4"/>
        <v>0.28749999999999998</v>
      </c>
      <c r="T70" s="21">
        <f t="shared" ca="1" si="5"/>
        <v>0.45624999999999999</v>
      </c>
      <c r="U70" s="21">
        <f t="shared" ca="1" si="6"/>
        <v>1</v>
      </c>
      <c r="V70" s="22" t="str">
        <f t="shared" ca="1" si="19"/>
        <v>✅ OK</v>
      </c>
      <c r="W70" s="21"/>
      <c r="X70" s="21"/>
      <c r="Y70" s="21">
        <f t="array" aca="1" ref="Y70" ca="1">MMULT(MMULT(Q70:T70,$G$59:$J$62),TRANSPOSE(Q70:T70))</f>
        <v>5.1139112305393759E-2</v>
      </c>
      <c r="Z70" s="23">
        <f t="shared" ca="1" si="7"/>
        <v>0.13120907940400486</v>
      </c>
      <c r="AA70" s="17"/>
      <c r="AB70" s="17"/>
      <c r="AC70" s="17"/>
      <c r="AD70" s="17"/>
    </row>
    <row r="71" spans="1:30" ht="19.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>
        <f t="shared" ca="1" si="18"/>
        <v>67</v>
      </c>
      <c r="M71" s="17">
        <f t="shared" ca="1" si="18"/>
        <v>70</v>
      </c>
      <c r="N71" s="17">
        <f t="shared" ca="1" si="18"/>
        <v>54</v>
      </c>
      <c r="O71" s="17">
        <f t="shared" ca="1" si="18"/>
        <v>66</v>
      </c>
      <c r="P71" s="17">
        <f t="shared" ca="1" si="1"/>
        <v>257</v>
      </c>
      <c r="Q71" s="21">
        <f t="shared" ca="1" si="2"/>
        <v>0.26070038910505838</v>
      </c>
      <c r="R71" s="21">
        <f t="shared" ca="1" si="3"/>
        <v>0.2723735408560311</v>
      </c>
      <c r="S71" s="21">
        <f t="shared" ca="1" si="4"/>
        <v>0.21011673151750973</v>
      </c>
      <c r="T71" s="21">
        <f t="shared" ca="1" si="5"/>
        <v>0.25680933852140075</v>
      </c>
      <c r="U71" s="21">
        <f t="shared" ca="1" si="6"/>
        <v>1</v>
      </c>
      <c r="V71" s="22" t="str">
        <f t="shared" ca="1" si="19"/>
        <v>✅ OK</v>
      </c>
      <c r="W71" s="21"/>
      <c r="X71" s="21"/>
      <c r="Y71" s="21">
        <f t="array" aca="1" ref="Y71" ca="1">MMULT(MMULT(Q71:T71,$G$59:$J$62),TRANSPOSE(Q71:T71))</f>
        <v>4.8093471791592707E-2</v>
      </c>
      <c r="Z71" s="23">
        <f t="shared" ca="1" si="7"/>
        <v>0.10519395090901033</v>
      </c>
      <c r="AA71" s="17"/>
      <c r="AB71" s="17"/>
      <c r="AC71" s="17"/>
      <c r="AD71" s="17"/>
    </row>
    <row r="72" spans="1:30" ht="19.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>
        <f t="shared" ca="1" si="18"/>
        <v>70</v>
      </c>
      <c r="M72" s="17">
        <f t="shared" ca="1" si="18"/>
        <v>49</v>
      </c>
      <c r="N72" s="17">
        <f t="shared" ca="1" si="18"/>
        <v>70</v>
      </c>
      <c r="O72" s="17">
        <f t="shared" ca="1" si="18"/>
        <v>27</v>
      </c>
      <c r="P72" s="17">
        <f t="shared" ca="1" si="1"/>
        <v>216</v>
      </c>
      <c r="Q72" s="21">
        <f t="shared" ca="1" si="2"/>
        <v>0.32407407407407407</v>
      </c>
      <c r="R72" s="21">
        <f t="shared" ca="1" si="3"/>
        <v>0.22685185185185186</v>
      </c>
      <c r="S72" s="21">
        <f t="shared" ca="1" si="4"/>
        <v>0.32407407407407407</v>
      </c>
      <c r="T72" s="21">
        <f t="shared" ca="1" si="5"/>
        <v>0.125</v>
      </c>
      <c r="U72" s="21">
        <f t="shared" ca="1" si="6"/>
        <v>1</v>
      </c>
      <c r="V72" s="22" t="str">
        <f t="shared" ca="1" si="19"/>
        <v>✅ OK</v>
      </c>
      <c r="W72" s="21"/>
      <c r="X72" s="21"/>
      <c r="Y72" s="21">
        <f t="array" aca="1" ref="Y72" ca="1">MMULT(MMULT(Q72:T72,$G$59:$J$62),TRANSPOSE(Q72:T72))</f>
        <v>6.0709130032821704E-2</v>
      </c>
      <c r="Z72" s="23">
        <f t="shared" ca="1" si="7"/>
        <v>8.8000682229230992E-2</v>
      </c>
      <c r="AA72" s="17"/>
      <c r="AB72" s="17"/>
      <c r="AC72" s="17"/>
      <c r="AD72" s="17"/>
    </row>
    <row r="73" spans="1:30" ht="19.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>
        <f t="shared" ca="1" si="18"/>
        <v>94</v>
      </c>
      <c r="M73" s="17">
        <f t="shared" ca="1" si="18"/>
        <v>91</v>
      </c>
      <c r="N73" s="17">
        <f t="shared" ca="1" si="18"/>
        <v>72</v>
      </c>
      <c r="O73" s="17">
        <f t="shared" ca="1" si="18"/>
        <v>54</v>
      </c>
      <c r="P73" s="17">
        <f t="shared" ca="1" si="1"/>
        <v>311</v>
      </c>
      <c r="Q73" s="21">
        <f t="shared" ca="1" si="2"/>
        <v>0.30225080385852088</v>
      </c>
      <c r="R73" s="21">
        <f t="shared" ca="1" si="3"/>
        <v>0.29260450160771706</v>
      </c>
      <c r="S73" s="21">
        <f t="shared" ca="1" si="4"/>
        <v>0.23151125401929259</v>
      </c>
      <c r="T73" s="21">
        <f t="shared" ca="1" si="5"/>
        <v>0.17363344051446947</v>
      </c>
      <c r="U73" s="21">
        <f t="shared" ca="1" si="6"/>
        <v>1</v>
      </c>
      <c r="V73" s="22" t="str">
        <f t="shared" ca="1" si="19"/>
        <v>✅ OK</v>
      </c>
      <c r="W73" s="21"/>
      <c r="X73" s="21"/>
      <c r="Y73" s="21">
        <f t="array" aca="1" ref="Y73" ca="1">MMULT(MMULT(Q73:T73,$G$59:$J$62),TRANSPOSE(Q73:T73))</f>
        <v>5.1921739325478118E-2</v>
      </c>
      <c r="Z73" s="23">
        <f t="shared" ca="1" si="7"/>
        <v>9.4344449817834575E-2</v>
      </c>
      <c r="AA73" s="17"/>
      <c r="AB73" s="17"/>
      <c r="AC73" s="17"/>
      <c r="AD73" s="17"/>
    </row>
    <row r="74" spans="1:30" ht="19.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>
        <f t="shared" ca="1" si="18"/>
        <v>48</v>
      </c>
      <c r="M74" s="17">
        <f t="shared" ca="1" si="18"/>
        <v>38</v>
      </c>
      <c r="N74" s="17">
        <f t="shared" ca="1" si="18"/>
        <v>53</v>
      </c>
      <c r="O74" s="17">
        <f t="shared" ca="1" si="18"/>
        <v>27</v>
      </c>
      <c r="P74" s="17">
        <f t="shared" ca="1" si="1"/>
        <v>166</v>
      </c>
      <c r="Q74" s="21">
        <f t="shared" ca="1" si="2"/>
        <v>0.28915662650602408</v>
      </c>
      <c r="R74" s="21">
        <f t="shared" ca="1" si="3"/>
        <v>0.2289156626506024</v>
      </c>
      <c r="S74" s="21">
        <f t="shared" ca="1" si="4"/>
        <v>0.31927710843373491</v>
      </c>
      <c r="T74" s="21">
        <f t="shared" ca="1" si="5"/>
        <v>0.16265060240963855</v>
      </c>
      <c r="U74" s="21">
        <f t="shared" ca="1" si="6"/>
        <v>1</v>
      </c>
      <c r="V74" s="22" t="str">
        <f t="shared" ca="1" si="19"/>
        <v>✅ OK</v>
      </c>
      <c r="W74" s="21"/>
      <c r="X74" s="21"/>
      <c r="Y74" s="21">
        <f t="array" aca="1" ref="Y74" ca="1">MMULT(MMULT(Q74:T74,$G$59:$J$62),TRANSPOSE(Q74:T74))</f>
        <v>5.8955572150374738E-2</v>
      </c>
      <c r="Z74" s="23">
        <f t="shared" ca="1" si="7"/>
        <v>9.2911843535752228E-2</v>
      </c>
      <c r="AA74" s="17"/>
      <c r="AB74" s="17"/>
      <c r="AC74" s="17"/>
      <c r="AD74" s="17"/>
    </row>
    <row r="75" spans="1:30" ht="19.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>
        <f t="shared" ca="1" si="18"/>
        <v>5</v>
      </c>
      <c r="M75" s="17">
        <f t="shared" ca="1" si="18"/>
        <v>99</v>
      </c>
      <c r="N75" s="17">
        <f t="shared" ca="1" si="18"/>
        <v>94</v>
      </c>
      <c r="O75" s="17">
        <f t="shared" ca="1" si="18"/>
        <v>91</v>
      </c>
      <c r="P75" s="17">
        <f t="shared" ca="1" si="1"/>
        <v>289</v>
      </c>
      <c r="Q75" s="21">
        <f t="shared" ca="1" si="2"/>
        <v>1.7301038062283738E-2</v>
      </c>
      <c r="R75" s="21">
        <f t="shared" ca="1" si="3"/>
        <v>0.34256055363321797</v>
      </c>
      <c r="S75" s="21">
        <f t="shared" ca="1" si="4"/>
        <v>0.32525951557093424</v>
      </c>
      <c r="T75" s="21">
        <f t="shared" ca="1" si="5"/>
        <v>0.31487889273356401</v>
      </c>
      <c r="U75" s="21">
        <f t="shared" ca="1" si="6"/>
        <v>1</v>
      </c>
      <c r="V75" s="22" t="str">
        <f t="shared" ca="1" si="19"/>
        <v>✅ OK</v>
      </c>
      <c r="W75" s="21"/>
      <c r="X75" s="21"/>
      <c r="Y75" s="21">
        <f t="array" aca="1" ref="Y75" ca="1">MMULT(MMULT(Q75:T75,$G$59:$J$62),TRANSPOSE(Q75:T75))</f>
        <v>5.490719533901877E-2</v>
      </c>
      <c r="Z75" s="23">
        <f t="shared" ca="1" si="7"/>
        <v>0.11276856936081778</v>
      </c>
      <c r="AA75" s="17"/>
      <c r="AB75" s="17"/>
      <c r="AC75" s="17"/>
      <c r="AD75" s="17"/>
    </row>
    <row r="76" spans="1:30" ht="19.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>
        <f t="shared" ca="1" si="18"/>
        <v>77</v>
      </c>
      <c r="M76" s="17">
        <f t="shared" ca="1" si="18"/>
        <v>86</v>
      </c>
      <c r="N76" s="17">
        <f t="shared" ca="1" si="18"/>
        <v>63</v>
      </c>
      <c r="O76" s="17">
        <f t="shared" ca="1" si="18"/>
        <v>59</v>
      </c>
      <c r="P76" s="17">
        <f t="shared" ca="1" si="1"/>
        <v>285</v>
      </c>
      <c r="Q76" s="21">
        <f t="shared" ca="1" si="2"/>
        <v>0.27017543859649124</v>
      </c>
      <c r="R76" s="21">
        <f t="shared" ca="1" si="3"/>
        <v>0.30175438596491228</v>
      </c>
      <c r="S76" s="21">
        <f t="shared" ca="1" si="4"/>
        <v>0.22105263157894736</v>
      </c>
      <c r="T76" s="21">
        <f t="shared" ca="1" si="5"/>
        <v>0.20701754385964913</v>
      </c>
      <c r="U76" s="21">
        <f t="shared" ca="1" si="6"/>
        <v>1</v>
      </c>
      <c r="V76" s="22" t="str">
        <f t="shared" ca="1" si="19"/>
        <v>✅ OK</v>
      </c>
      <c r="W76" s="21"/>
      <c r="X76" s="21"/>
      <c r="Y76" s="21">
        <f t="array" aca="1" ref="Y76" ca="1">MMULT(MMULT(Q76:T76,$G$59:$J$62),TRANSPOSE(Q76:T76))</f>
        <v>5.0194787609909183E-2</v>
      </c>
      <c r="Z76" s="23">
        <f t="shared" ca="1" si="7"/>
        <v>9.8699087090777127E-2</v>
      </c>
      <c r="AA76" s="17"/>
      <c r="AB76" s="17"/>
      <c r="AC76" s="17"/>
      <c r="AD76" s="17"/>
    </row>
    <row r="77" spans="1:30" ht="19.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>
        <f t="shared" ca="1" si="18"/>
        <v>8</v>
      </c>
      <c r="M77" s="17">
        <f t="shared" ca="1" si="18"/>
        <v>87</v>
      </c>
      <c r="N77" s="17">
        <f t="shared" ca="1" si="18"/>
        <v>66</v>
      </c>
      <c r="O77" s="17">
        <f t="shared" ca="1" si="18"/>
        <v>23</v>
      </c>
      <c r="P77" s="17">
        <f t="shared" ca="1" si="1"/>
        <v>184</v>
      </c>
      <c r="Q77" s="21">
        <f t="shared" ca="1" si="2"/>
        <v>4.3478260869565216E-2</v>
      </c>
      <c r="R77" s="21">
        <f t="shared" ca="1" si="3"/>
        <v>0.47282608695652173</v>
      </c>
      <c r="S77" s="21">
        <f t="shared" ca="1" si="4"/>
        <v>0.35869565217391303</v>
      </c>
      <c r="T77" s="21">
        <f t="shared" ca="1" si="5"/>
        <v>0.125</v>
      </c>
      <c r="U77" s="21">
        <f t="shared" ca="1" si="6"/>
        <v>1</v>
      </c>
      <c r="V77" s="22" t="str">
        <f t="shared" ca="1" si="19"/>
        <v>✅ OK</v>
      </c>
      <c r="W77" s="21"/>
      <c r="X77" s="21"/>
      <c r="Y77" s="21">
        <f t="array" aca="1" ref="Y77" ca="1">MMULT(MMULT(Q77:T77,$G$59:$J$62),TRANSPOSE(Q77:T77))</f>
        <v>6.3996433464057881E-2</v>
      </c>
      <c r="Z77" s="23">
        <f t="shared" ca="1" si="7"/>
        <v>8.8000682229230992E-2</v>
      </c>
      <c r="AA77" s="17"/>
      <c r="AB77" s="17"/>
      <c r="AC77" s="17"/>
      <c r="AD77" s="17"/>
    </row>
    <row r="78" spans="1:30" ht="19.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>
        <f t="shared" ca="1" si="18"/>
        <v>98</v>
      </c>
      <c r="M78" s="17">
        <f t="shared" ca="1" si="18"/>
        <v>89</v>
      </c>
      <c r="N78" s="17">
        <f t="shared" ca="1" si="18"/>
        <v>16</v>
      </c>
      <c r="O78" s="17">
        <f t="shared" ca="1" si="18"/>
        <v>42</v>
      </c>
      <c r="P78" s="17">
        <f t="shared" ca="1" si="1"/>
        <v>245</v>
      </c>
      <c r="Q78" s="21">
        <f t="shared" ca="1" si="2"/>
        <v>0.4</v>
      </c>
      <c r="R78" s="21">
        <f t="shared" ca="1" si="3"/>
        <v>0.36326530612244901</v>
      </c>
      <c r="S78" s="21">
        <f t="shared" ca="1" si="4"/>
        <v>6.5306122448979598E-2</v>
      </c>
      <c r="T78" s="21">
        <f t="shared" ca="1" si="5"/>
        <v>0.17142857142857143</v>
      </c>
      <c r="U78" s="21">
        <f t="shared" ca="1" si="6"/>
        <v>1</v>
      </c>
      <c r="V78" s="22" t="str">
        <f t="shared" ca="1" si="19"/>
        <v>✅ OK</v>
      </c>
      <c r="W78" s="21"/>
      <c r="X78" s="21"/>
      <c r="Y78" s="21">
        <f t="array" aca="1" ref="Y78" ca="1">MMULT(MMULT(Q78:T78,$G$59:$J$62),TRANSPOSE(Q78:T78))</f>
        <v>4.2373815162077798E-2</v>
      </c>
      <c r="Z78" s="23">
        <f t="shared" ca="1" si="7"/>
        <v>9.4056845714644038E-2</v>
      </c>
      <c r="AA78" s="17"/>
      <c r="AB78" s="17"/>
      <c r="AC78" s="17"/>
      <c r="AD78" s="17"/>
    </row>
    <row r="79" spans="1:30" ht="19.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>
        <f t="shared" ca="1" si="18"/>
        <v>12</v>
      </c>
      <c r="M79" s="17">
        <f t="shared" ca="1" si="18"/>
        <v>3</v>
      </c>
      <c r="N79" s="17">
        <f t="shared" ca="1" si="18"/>
        <v>65</v>
      </c>
      <c r="O79" s="17">
        <f t="shared" ca="1" si="18"/>
        <v>10</v>
      </c>
      <c r="P79" s="17">
        <f t="shared" ca="1" si="1"/>
        <v>90</v>
      </c>
      <c r="Q79" s="21">
        <f t="shared" ca="1" si="2"/>
        <v>0.13333333333333333</v>
      </c>
      <c r="R79" s="21">
        <f t="shared" ca="1" si="3"/>
        <v>3.3333333333333333E-2</v>
      </c>
      <c r="S79" s="21">
        <f t="shared" ca="1" si="4"/>
        <v>0.72222222222222221</v>
      </c>
      <c r="T79" s="21">
        <f t="shared" ca="1" si="5"/>
        <v>0.1111111111111111</v>
      </c>
      <c r="U79" s="21">
        <f t="shared" ca="1" si="6"/>
        <v>1</v>
      </c>
      <c r="V79" s="22" t="str">
        <f t="shared" ca="1" si="19"/>
        <v>✅ OK</v>
      </c>
      <c r="W79" s="21"/>
      <c r="X79" s="21"/>
      <c r="Y79" s="21">
        <f t="array" aca="1" ref="Y79" ca="1">MMULT(MMULT(Q79:T79,$G$59:$J$62),TRANSPOSE(Q79:T79))</f>
        <v>0.10444362300136355</v>
      </c>
      <c r="Z79" s="23">
        <f t="shared" ca="1" si="7"/>
        <v>8.6189009391714269E-2</v>
      </c>
      <c r="AA79" s="17"/>
      <c r="AB79" s="17"/>
      <c r="AC79" s="17"/>
      <c r="AD79" s="17"/>
    </row>
    <row r="80" spans="1:30" ht="19.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>
        <f t="shared" ca="1" si="18"/>
        <v>42</v>
      </c>
      <c r="M80" s="17">
        <f t="shared" ca="1" si="18"/>
        <v>70</v>
      </c>
      <c r="N80" s="17">
        <f t="shared" ca="1" si="18"/>
        <v>88</v>
      </c>
      <c r="O80" s="17">
        <f t="shared" ca="1" si="18"/>
        <v>16</v>
      </c>
      <c r="P80" s="17">
        <f t="shared" ca="1" si="1"/>
        <v>216</v>
      </c>
      <c r="Q80" s="21">
        <f t="shared" ca="1" si="2"/>
        <v>0.19444444444444445</v>
      </c>
      <c r="R80" s="21">
        <f t="shared" ca="1" si="3"/>
        <v>0.32407407407407407</v>
      </c>
      <c r="S80" s="21">
        <f t="shared" ca="1" si="4"/>
        <v>0.40740740740740738</v>
      </c>
      <c r="T80" s="21">
        <f t="shared" ca="1" si="5"/>
        <v>7.407407407407407E-2</v>
      </c>
      <c r="U80" s="21">
        <f t="shared" ca="1" si="6"/>
        <v>0.99999999999999989</v>
      </c>
      <c r="V80" s="22" t="str">
        <f t="shared" ca="1" si="19"/>
        <v>✅ OK</v>
      </c>
      <c r="W80" s="21"/>
      <c r="X80" s="21"/>
      <c r="Y80" s="21">
        <f t="array" aca="1" ref="Y80" ca="1">MMULT(MMULT(Q80:T80,$G$59:$J$62),TRANSPOSE(Q80:T80))</f>
        <v>6.8785881856311362E-2</v>
      </c>
      <c r="Z80" s="23">
        <f t="shared" ca="1" si="7"/>
        <v>8.1357881825002989E-2</v>
      </c>
      <c r="AA80" s="17"/>
      <c r="AB80" s="17"/>
      <c r="AC80" s="17"/>
      <c r="AD80" s="17"/>
    </row>
    <row r="81" spans="1:30" ht="19.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>
        <f t="shared" ca="1" si="18"/>
        <v>82</v>
      </c>
      <c r="M81" s="17">
        <f t="shared" ca="1" si="18"/>
        <v>75</v>
      </c>
      <c r="N81" s="17">
        <f t="shared" ca="1" si="18"/>
        <v>2</v>
      </c>
      <c r="O81" s="17">
        <f t="shared" ca="1" si="18"/>
        <v>78</v>
      </c>
      <c r="P81" s="17">
        <f t="shared" ca="1" si="1"/>
        <v>237</v>
      </c>
      <c r="Q81" s="21">
        <f t="shared" ca="1" si="2"/>
        <v>0.34599156118143459</v>
      </c>
      <c r="R81" s="21">
        <f t="shared" ca="1" si="3"/>
        <v>0.31645569620253167</v>
      </c>
      <c r="S81" s="21">
        <f t="shared" ca="1" si="4"/>
        <v>8.4388185654008432E-3</v>
      </c>
      <c r="T81" s="21">
        <f t="shared" ca="1" si="5"/>
        <v>0.32911392405063289</v>
      </c>
      <c r="U81" s="21">
        <f t="shared" ca="1" si="6"/>
        <v>1</v>
      </c>
      <c r="V81" s="22" t="str">
        <f t="shared" ca="1" si="19"/>
        <v>✅ OK</v>
      </c>
      <c r="W81" s="21"/>
      <c r="X81" s="21"/>
      <c r="Y81" s="21">
        <f t="array" aca="1" ref="Y81" ca="1">MMULT(MMULT(Q81:T81,$G$59:$J$62),TRANSPOSE(Q81:T81))</f>
        <v>3.5626955409536538E-2</v>
      </c>
      <c r="Z81" s="23">
        <f t="shared" ca="1" si="7"/>
        <v>0.11462539317045778</v>
      </c>
      <c r="AA81" s="17"/>
      <c r="AB81" s="17"/>
      <c r="AC81" s="17"/>
      <c r="AD81" s="17"/>
    </row>
    <row r="82" spans="1:30" ht="19.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>
        <f t="shared" ref="L82:O97" ca="1" si="20">RANDBETWEEN(0,100)</f>
        <v>73</v>
      </c>
      <c r="M82" s="17">
        <f t="shared" ca="1" si="20"/>
        <v>55</v>
      </c>
      <c r="N82" s="17">
        <f t="shared" ca="1" si="20"/>
        <v>53</v>
      </c>
      <c r="O82" s="17">
        <f t="shared" ca="1" si="20"/>
        <v>47</v>
      </c>
      <c r="P82" s="17">
        <f t="shared" ca="1" si="1"/>
        <v>228</v>
      </c>
      <c r="Q82" s="21">
        <f t="shared" ca="1" si="2"/>
        <v>0.32017543859649122</v>
      </c>
      <c r="R82" s="21">
        <f t="shared" ca="1" si="3"/>
        <v>0.2412280701754386</v>
      </c>
      <c r="S82" s="21">
        <f t="shared" ca="1" si="4"/>
        <v>0.23245614035087719</v>
      </c>
      <c r="T82" s="21">
        <f t="shared" ca="1" si="5"/>
        <v>0.20614035087719298</v>
      </c>
      <c r="U82" s="21">
        <f t="shared" ca="1" si="6"/>
        <v>0.99999999999999989</v>
      </c>
      <c r="V82" s="22" t="str">
        <f t="shared" ca="1" si="19"/>
        <v>✅ OK</v>
      </c>
      <c r="W82" s="21"/>
      <c r="X82" s="21"/>
      <c r="Y82" s="21">
        <f t="array" aca="1" ref="Y82" ca="1">MMULT(MMULT(Q82:T82,$G$59:$J$62),TRANSPOSE(Q82:T82))</f>
        <v>5.1180782215378792E-2</v>
      </c>
      <c r="Z82" s="23">
        <f t="shared" ca="1" si="7"/>
        <v>9.8584665648407635E-2</v>
      </c>
      <c r="AA82" s="17"/>
      <c r="AB82" s="17"/>
      <c r="AC82" s="17"/>
      <c r="AD82" s="17"/>
    </row>
    <row r="83" spans="1:30" ht="19.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>
        <f t="shared" ca="1" si="20"/>
        <v>70</v>
      </c>
      <c r="M83" s="17">
        <f t="shared" ca="1" si="20"/>
        <v>6</v>
      </c>
      <c r="N83" s="17">
        <f t="shared" ca="1" si="20"/>
        <v>14</v>
      </c>
      <c r="O83" s="17">
        <f t="shared" ca="1" si="20"/>
        <v>5</v>
      </c>
      <c r="P83" s="17">
        <f t="shared" ca="1" si="1"/>
        <v>95</v>
      </c>
      <c r="Q83" s="21">
        <f t="shared" ca="1" si="2"/>
        <v>0.73684210526315785</v>
      </c>
      <c r="R83" s="21">
        <f t="shared" ca="1" si="3"/>
        <v>6.3157894736842107E-2</v>
      </c>
      <c r="S83" s="21">
        <f t="shared" ca="1" si="4"/>
        <v>0.14736842105263157</v>
      </c>
      <c r="T83" s="21">
        <f t="shared" ca="1" si="5"/>
        <v>5.2631578947368418E-2</v>
      </c>
      <c r="U83" s="21">
        <f t="shared" ca="1" si="6"/>
        <v>1</v>
      </c>
      <c r="V83" s="22" t="str">
        <f t="shared" ca="1" si="19"/>
        <v>✅ OK</v>
      </c>
      <c r="W83" s="21"/>
      <c r="X83" s="21"/>
      <c r="Y83" s="21">
        <f t="array" aca="1" ref="Y83" ca="1">MMULT(MMULT(Q83:T83,$G$59:$J$62),TRANSPOSE(Q83:T83))</f>
        <v>5.49667933061352E-2</v>
      </c>
      <c r="Z83" s="23">
        <f t="shared" ca="1" si="7"/>
        <v>7.8560913233749113E-2</v>
      </c>
      <c r="AA83" s="17"/>
      <c r="AB83" s="17"/>
      <c r="AC83" s="17"/>
      <c r="AD83" s="17"/>
    </row>
    <row r="84" spans="1:30" ht="19.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>
        <f t="shared" ca="1" si="20"/>
        <v>27</v>
      </c>
      <c r="M84" s="17">
        <f t="shared" ca="1" si="20"/>
        <v>33</v>
      </c>
      <c r="N84" s="17">
        <f t="shared" ca="1" si="20"/>
        <v>78</v>
      </c>
      <c r="O84" s="17">
        <f t="shared" ca="1" si="20"/>
        <v>7</v>
      </c>
      <c r="P84" s="17">
        <f t="shared" ca="1" si="1"/>
        <v>145</v>
      </c>
      <c r="Q84" s="21">
        <f t="shared" ca="1" si="2"/>
        <v>0.18620689655172415</v>
      </c>
      <c r="R84" s="21">
        <f t="shared" ca="1" si="3"/>
        <v>0.22758620689655173</v>
      </c>
      <c r="S84" s="21">
        <f t="shared" ca="1" si="4"/>
        <v>0.53793103448275859</v>
      </c>
      <c r="T84" s="21">
        <f t="shared" ca="1" si="5"/>
        <v>4.8275862068965517E-2</v>
      </c>
      <c r="U84" s="21">
        <f t="shared" ca="1" si="6"/>
        <v>1</v>
      </c>
      <c r="V84" s="22" t="str">
        <f t="shared" ca="1" si="19"/>
        <v>✅ OK</v>
      </c>
      <c r="W84" s="21"/>
      <c r="X84" s="21"/>
      <c r="Y84" s="21">
        <f t="array" aca="1" ref="Y84" ca="1">MMULT(MMULT(Q84:T84,$G$59:$J$62),TRANSPOSE(Q84:T84))</f>
        <v>8.2705280080103791E-2</v>
      </c>
      <c r="Z84" s="23">
        <f t="shared" ca="1" si="7"/>
        <v>7.7992751588879985E-2</v>
      </c>
      <c r="AA84" s="17"/>
      <c r="AB84" s="17"/>
      <c r="AC84" s="17"/>
      <c r="AD84" s="17"/>
    </row>
    <row r="85" spans="1:30" ht="19.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>
        <f t="shared" ca="1" si="20"/>
        <v>95</v>
      </c>
      <c r="M85" s="17">
        <f t="shared" ca="1" si="20"/>
        <v>46</v>
      </c>
      <c r="N85" s="17">
        <f t="shared" ca="1" si="20"/>
        <v>83</v>
      </c>
      <c r="O85" s="17">
        <f t="shared" ca="1" si="20"/>
        <v>2</v>
      </c>
      <c r="P85" s="17">
        <f t="shared" ca="1" si="1"/>
        <v>226</v>
      </c>
      <c r="Q85" s="21">
        <f t="shared" ca="1" si="2"/>
        <v>0.42035398230088494</v>
      </c>
      <c r="R85" s="21">
        <f t="shared" ca="1" si="3"/>
        <v>0.20353982300884957</v>
      </c>
      <c r="S85" s="21">
        <f t="shared" ca="1" si="4"/>
        <v>0.36725663716814161</v>
      </c>
      <c r="T85" s="21">
        <f t="shared" ca="1" si="5"/>
        <v>8.8495575221238937E-3</v>
      </c>
      <c r="U85" s="21">
        <f t="shared" ca="1" si="6"/>
        <v>1</v>
      </c>
      <c r="V85" s="22" t="str">
        <f t="shared" ca="1" si="19"/>
        <v>✅ OK</v>
      </c>
      <c r="W85" s="21"/>
      <c r="X85" s="21"/>
      <c r="Y85" s="21">
        <f t="array" aca="1" ref="Y85" ca="1">MMULT(MMULT(Q85:T85,$G$59:$J$62),TRANSPOSE(Q85:T85))</f>
        <v>6.9282727666063831E-2</v>
      </c>
      <c r="Z85" s="23">
        <f t="shared" ca="1" si="7"/>
        <v>7.284996690663538E-2</v>
      </c>
      <c r="AA85" s="17"/>
      <c r="AB85" s="17"/>
      <c r="AC85" s="17"/>
      <c r="AD85" s="17"/>
    </row>
    <row r="86" spans="1:30" ht="19.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>
        <f t="shared" ca="1" si="20"/>
        <v>31</v>
      </c>
      <c r="M86" s="17">
        <f t="shared" ca="1" si="20"/>
        <v>74</v>
      </c>
      <c r="N86" s="17">
        <f t="shared" ca="1" si="20"/>
        <v>70</v>
      </c>
      <c r="O86" s="17">
        <f t="shared" ca="1" si="20"/>
        <v>61</v>
      </c>
      <c r="P86" s="17">
        <f t="shared" ca="1" si="1"/>
        <v>236</v>
      </c>
      <c r="Q86" s="21">
        <f t="shared" ca="1" si="2"/>
        <v>0.13135593220338984</v>
      </c>
      <c r="R86" s="21">
        <f t="shared" ca="1" si="3"/>
        <v>0.3135593220338983</v>
      </c>
      <c r="S86" s="21">
        <f t="shared" ca="1" si="4"/>
        <v>0.29661016949152541</v>
      </c>
      <c r="T86" s="21">
        <f t="shared" ca="1" si="5"/>
        <v>0.25847457627118642</v>
      </c>
      <c r="U86" s="21">
        <f t="shared" ca="1" si="6"/>
        <v>1</v>
      </c>
      <c r="V86" s="22" t="str">
        <f t="shared" ca="1" si="19"/>
        <v>✅ OK</v>
      </c>
      <c r="W86" s="21"/>
      <c r="X86" s="21"/>
      <c r="Y86" s="21">
        <f t="array" aca="1" ref="Y86" ca="1">MMULT(MMULT(Q86:T86,$G$59:$J$62),TRANSPOSE(Q86:T86))</f>
        <v>5.4018105723251025E-2</v>
      </c>
      <c r="Z86" s="23">
        <f t="shared" ca="1" si="7"/>
        <v>0.10541116526095951</v>
      </c>
      <c r="AA86" s="17"/>
      <c r="AB86" s="17"/>
      <c r="AC86" s="17"/>
      <c r="AD86" s="17"/>
    </row>
    <row r="87" spans="1:30" ht="19.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>
        <f t="shared" ca="1" si="20"/>
        <v>17</v>
      </c>
      <c r="M87" s="17">
        <f t="shared" ca="1" si="20"/>
        <v>40</v>
      </c>
      <c r="N87" s="17">
        <f t="shared" ca="1" si="20"/>
        <v>30</v>
      </c>
      <c r="O87" s="17">
        <f t="shared" ca="1" si="20"/>
        <v>68</v>
      </c>
      <c r="P87" s="17">
        <f t="shared" ca="1" si="1"/>
        <v>155</v>
      </c>
      <c r="Q87" s="21">
        <f t="shared" ca="1" si="2"/>
        <v>0.10967741935483871</v>
      </c>
      <c r="R87" s="21">
        <f t="shared" ca="1" si="3"/>
        <v>0.25806451612903225</v>
      </c>
      <c r="S87" s="21">
        <f t="shared" ca="1" si="4"/>
        <v>0.19354838709677419</v>
      </c>
      <c r="T87" s="21">
        <f t="shared" ca="1" si="5"/>
        <v>0.43870967741935485</v>
      </c>
      <c r="U87" s="21">
        <f t="shared" ca="1" si="6"/>
        <v>1</v>
      </c>
      <c r="V87" s="22" t="str">
        <f t="shared" ca="1" si="19"/>
        <v>✅ OK</v>
      </c>
      <c r="W87" s="21"/>
      <c r="X87" s="21"/>
      <c r="Y87" s="21">
        <f t="array" aca="1" ref="Y87" ca="1">MMULT(MMULT(Q87:T87,$G$59:$J$62),TRANSPOSE(Q87:T87))</f>
        <v>4.3009775009309102E-2</v>
      </c>
      <c r="Z87" s="23">
        <f t="shared" ca="1" si="7"/>
        <v>0.12892111193339906</v>
      </c>
      <c r="AA87" s="17"/>
      <c r="AB87" s="17"/>
      <c r="AC87" s="17"/>
      <c r="AD87" s="17"/>
    </row>
    <row r="88" spans="1:30" ht="19.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>
        <f t="shared" ca="1" si="20"/>
        <v>48</v>
      </c>
      <c r="M88" s="17">
        <f t="shared" ca="1" si="20"/>
        <v>72</v>
      </c>
      <c r="N88" s="17">
        <f t="shared" ca="1" si="20"/>
        <v>51</v>
      </c>
      <c r="O88" s="17">
        <f t="shared" ca="1" si="20"/>
        <v>88</v>
      </c>
      <c r="P88" s="17">
        <f t="shared" ca="1" si="1"/>
        <v>259</v>
      </c>
      <c r="Q88" s="21">
        <f t="shared" ca="1" si="2"/>
        <v>0.18532818532818532</v>
      </c>
      <c r="R88" s="21">
        <f t="shared" ca="1" si="3"/>
        <v>0.27799227799227799</v>
      </c>
      <c r="S88" s="21">
        <f t="shared" ca="1" si="4"/>
        <v>0.19691119691119691</v>
      </c>
      <c r="T88" s="21">
        <f t="shared" ca="1" si="5"/>
        <v>0.33976833976833976</v>
      </c>
      <c r="U88" s="21">
        <f t="shared" ca="1" si="6"/>
        <v>1</v>
      </c>
      <c r="V88" s="22" t="str">
        <f t="shared" ca="1" si="19"/>
        <v>✅ OK</v>
      </c>
      <c r="W88" s="21"/>
      <c r="X88" s="21"/>
      <c r="Y88" s="21">
        <f t="array" aca="1" ref="Y88" ca="1">MMULT(MMULT(Q88:T88,$G$59:$J$62),TRANSPOSE(Q88:T88))</f>
        <v>4.5200307695317105E-2</v>
      </c>
      <c r="Z88" s="23">
        <f t="shared" ca="1" si="7"/>
        <v>0.1160151598904452</v>
      </c>
      <c r="AA88" s="17"/>
      <c r="AB88" s="17"/>
      <c r="AC88" s="17"/>
      <c r="AD88" s="17"/>
    </row>
    <row r="89" spans="1:30" ht="19.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>
        <f t="shared" ca="1" si="20"/>
        <v>38</v>
      </c>
      <c r="M89" s="17">
        <f t="shared" ca="1" si="20"/>
        <v>0</v>
      </c>
      <c r="N89" s="17">
        <f t="shared" ca="1" si="20"/>
        <v>60</v>
      </c>
      <c r="O89" s="17">
        <f t="shared" ca="1" si="20"/>
        <v>62</v>
      </c>
      <c r="P89" s="17">
        <f t="shared" ca="1" si="1"/>
        <v>160</v>
      </c>
      <c r="Q89" s="21">
        <f t="shared" ca="1" si="2"/>
        <v>0.23749999999999999</v>
      </c>
      <c r="R89" s="21">
        <f t="shared" ca="1" si="3"/>
        <v>0</v>
      </c>
      <c r="S89" s="21">
        <f t="shared" ca="1" si="4"/>
        <v>0.375</v>
      </c>
      <c r="T89" s="21">
        <f t="shared" ca="1" si="5"/>
        <v>0.38750000000000001</v>
      </c>
      <c r="U89" s="21">
        <f t="shared" ca="1" si="6"/>
        <v>1</v>
      </c>
      <c r="V89" s="22" t="str">
        <f t="shared" ca="1" si="19"/>
        <v>✅ OK</v>
      </c>
      <c r="W89" s="21"/>
      <c r="X89" s="21"/>
      <c r="Y89" s="21">
        <f t="array" aca="1" ref="Y89" ca="1">MMULT(MMULT(Q89:T89,$G$59:$J$62),TRANSPOSE(Q89:T89))</f>
        <v>6.0243737110814891E-2</v>
      </c>
      <c r="Z89" s="23">
        <f t="shared" ca="1" si="7"/>
        <v>0.12224129885829708</v>
      </c>
      <c r="AA89" s="17"/>
      <c r="AB89" s="17"/>
      <c r="AC89" s="17"/>
      <c r="AD89" s="17"/>
    </row>
    <row r="90" spans="1:30" ht="19.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>
        <f t="shared" ca="1" si="20"/>
        <v>95</v>
      </c>
      <c r="M90" s="17">
        <f t="shared" ca="1" si="20"/>
        <v>42</v>
      </c>
      <c r="N90" s="17">
        <f t="shared" ca="1" si="20"/>
        <v>84</v>
      </c>
      <c r="O90" s="17">
        <f t="shared" ca="1" si="20"/>
        <v>24</v>
      </c>
      <c r="P90" s="17">
        <f t="shared" ca="1" si="1"/>
        <v>245</v>
      </c>
      <c r="Q90" s="21">
        <f t="shared" ca="1" si="2"/>
        <v>0.38775510204081631</v>
      </c>
      <c r="R90" s="21">
        <f t="shared" ca="1" si="3"/>
        <v>0.17142857142857143</v>
      </c>
      <c r="S90" s="21">
        <f t="shared" ca="1" si="4"/>
        <v>0.34285714285714286</v>
      </c>
      <c r="T90" s="21">
        <f t="shared" ca="1" si="5"/>
        <v>9.7959183673469383E-2</v>
      </c>
      <c r="U90" s="21">
        <f t="shared" ca="1" si="6"/>
        <v>1</v>
      </c>
      <c r="V90" s="22" t="str">
        <f t="shared" ca="1" si="19"/>
        <v>✅ OK</v>
      </c>
      <c r="W90" s="21"/>
      <c r="X90" s="21"/>
      <c r="Y90" s="21">
        <f t="array" aca="1" ref="Y90" ca="1">MMULT(MMULT(Q90:T90,$G$59:$J$62),TRANSPOSE(Q90:T90))</f>
        <v>6.4028410441513459E-2</v>
      </c>
      <c r="Z90" s="23">
        <f t="shared" ca="1" si="7"/>
        <v>8.4473466133331079E-2</v>
      </c>
      <c r="AA90" s="17"/>
      <c r="AB90" s="17"/>
      <c r="AC90" s="17"/>
      <c r="AD90" s="17"/>
    </row>
    <row r="91" spans="1:30" ht="19.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>
        <f t="shared" ca="1" si="20"/>
        <v>52</v>
      </c>
      <c r="M91" s="17">
        <f t="shared" ca="1" si="20"/>
        <v>87</v>
      </c>
      <c r="N91" s="17">
        <f t="shared" ca="1" si="20"/>
        <v>19</v>
      </c>
      <c r="O91" s="17">
        <f t="shared" ca="1" si="20"/>
        <v>44</v>
      </c>
      <c r="P91" s="17">
        <f t="shared" ca="1" si="1"/>
        <v>202</v>
      </c>
      <c r="Q91" s="21">
        <f t="shared" ca="1" si="2"/>
        <v>0.25742574257425743</v>
      </c>
      <c r="R91" s="21">
        <f t="shared" ca="1" si="3"/>
        <v>0.43069306930693069</v>
      </c>
      <c r="S91" s="21">
        <f t="shared" ca="1" si="4"/>
        <v>9.405940594059406E-2</v>
      </c>
      <c r="T91" s="21">
        <f t="shared" ca="1" si="5"/>
        <v>0.21782178217821782</v>
      </c>
      <c r="U91" s="21">
        <f t="shared" ca="1" si="6"/>
        <v>0.99999999999999989</v>
      </c>
      <c r="V91" s="22" t="str">
        <f t="shared" ca="1" si="19"/>
        <v>✅ OK</v>
      </c>
      <c r="W91" s="21"/>
      <c r="X91" s="21"/>
      <c r="Y91" s="21">
        <f t="array" aca="1" ref="Y91" ca="1">MMULT(MMULT(Q91:T91,$G$59:$J$62),TRANSPOSE(Q91:T91))</f>
        <v>4.3314690956712823E-2</v>
      </c>
      <c r="Z91" s="23">
        <f t="shared" ca="1" si="7"/>
        <v>0.10010839673738731</v>
      </c>
      <c r="AA91" s="17"/>
      <c r="AB91" s="17"/>
      <c r="AC91" s="17"/>
      <c r="AD91" s="17"/>
    </row>
    <row r="92" spans="1:30" ht="19.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>
        <f t="shared" ca="1" si="20"/>
        <v>13</v>
      </c>
      <c r="M92" s="17">
        <f t="shared" ca="1" si="20"/>
        <v>44</v>
      </c>
      <c r="N92" s="17">
        <f t="shared" ca="1" si="20"/>
        <v>74</v>
      </c>
      <c r="O92" s="17">
        <f t="shared" ca="1" si="20"/>
        <v>54</v>
      </c>
      <c r="P92" s="17">
        <f t="shared" ca="1" si="1"/>
        <v>185</v>
      </c>
      <c r="Q92" s="21">
        <f t="shared" ca="1" si="2"/>
        <v>7.0270270270270274E-2</v>
      </c>
      <c r="R92" s="21">
        <f t="shared" ca="1" si="3"/>
        <v>0.23783783783783785</v>
      </c>
      <c r="S92" s="21">
        <f t="shared" ca="1" si="4"/>
        <v>0.4</v>
      </c>
      <c r="T92" s="21">
        <f t="shared" ca="1" si="5"/>
        <v>0.29189189189189191</v>
      </c>
      <c r="U92" s="21">
        <f t="shared" ca="1" si="6"/>
        <v>1</v>
      </c>
      <c r="V92" s="22" t="str">
        <f t="shared" ca="1" si="19"/>
        <v>✅ OK</v>
      </c>
      <c r="W92" s="21"/>
      <c r="X92" s="21"/>
      <c r="Y92" s="21">
        <f t="array" aca="1" ref="Y92" ca="1">MMULT(MMULT(Q92:T92,$G$59:$J$62),TRANSPOSE(Q92:T92))</f>
        <v>6.1283151199676131E-2</v>
      </c>
      <c r="Z92" s="23">
        <f t="shared" ca="1" si="7"/>
        <v>0.1097701347578779</v>
      </c>
      <c r="AA92" s="17"/>
      <c r="AB92" s="17"/>
      <c r="AC92" s="17"/>
      <c r="AD92" s="17"/>
    </row>
    <row r="93" spans="1:30" ht="19.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>
        <f t="shared" ca="1" si="20"/>
        <v>66</v>
      </c>
      <c r="M93" s="17">
        <f t="shared" ca="1" si="20"/>
        <v>68</v>
      </c>
      <c r="N93" s="17">
        <f t="shared" ca="1" si="20"/>
        <v>3</v>
      </c>
      <c r="O93" s="17">
        <f t="shared" ca="1" si="20"/>
        <v>23</v>
      </c>
      <c r="P93" s="17">
        <f t="shared" ca="1" si="1"/>
        <v>160</v>
      </c>
      <c r="Q93" s="21">
        <f t="shared" ca="1" si="2"/>
        <v>0.41249999999999998</v>
      </c>
      <c r="R93" s="21">
        <f t="shared" ca="1" si="3"/>
        <v>0.42499999999999999</v>
      </c>
      <c r="S93" s="21">
        <f t="shared" ca="1" si="4"/>
        <v>1.8749999999999999E-2</v>
      </c>
      <c r="T93" s="21">
        <f t="shared" ca="1" si="5"/>
        <v>0.14374999999999999</v>
      </c>
      <c r="U93" s="21">
        <f t="shared" ca="1" si="6"/>
        <v>1</v>
      </c>
      <c r="V93" s="22" t="str">
        <f t="shared" ca="1" si="19"/>
        <v>✅ OK</v>
      </c>
      <c r="W93" s="21"/>
      <c r="X93" s="21"/>
      <c r="Y93" s="21">
        <f t="array" aca="1" ref="Y93" ca="1">MMULT(MMULT(Q93:T93,$G$59:$J$62),TRANSPOSE(Q93:T93))</f>
        <v>4.1461826263607456E-2</v>
      </c>
      <c r="Z93" s="23">
        <f t="shared" ca="1" si="7"/>
        <v>9.0446440559878577E-2</v>
      </c>
      <c r="AA93" s="17"/>
      <c r="AB93" s="17"/>
      <c r="AC93" s="17"/>
      <c r="AD93" s="17"/>
    </row>
    <row r="94" spans="1:30" ht="19.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>
        <f t="shared" ca="1" si="20"/>
        <v>86</v>
      </c>
      <c r="M94" s="17">
        <f t="shared" ca="1" si="20"/>
        <v>79</v>
      </c>
      <c r="N94" s="17">
        <f t="shared" ca="1" si="20"/>
        <v>68</v>
      </c>
      <c r="O94" s="17">
        <f t="shared" ca="1" si="20"/>
        <v>75</v>
      </c>
      <c r="P94" s="17">
        <f t="shared" ca="1" si="1"/>
        <v>308</v>
      </c>
      <c r="Q94" s="21">
        <f t="shared" ca="1" si="2"/>
        <v>0.2792207792207792</v>
      </c>
      <c r="R94" s="21">
        <f t="shared" ca="1" si="3"/>
        <v>0.2564935064935065</v>
      </c>
      <c r="S94" s="21">
        <f t="shared" ca="1" si="4"/>
        <v>0.22077922077922077</v>
      </c>
      <c r="T94" s="21">
        <f t="shared" ca="1" si="5"/>
        <v>0.2435064935064935</v>
      </c>
      <c r="U94" s="21">
        <f t="shared" ca="1" si="6"/>
        <v>1</v>
      </c>
      <c r="V94" s="22" t="str">
        <f t="shared" ca="1" si="19"/>
        <v>✅ OK</v>
      </c>
      <c r="W94" s="21"/>
      <c r="X94" s="21"/>
      <c r="Y94" s="21">
        <f t="array" aca="1" ref="Y94" ca="1">MMULT(MMULT(Q94:T94,$G$59:$J$62),TRANSPOSE(Q94:T94))</f>
        <v>4.9202176327423068E-2</v>
      </c>
      <c r="Z94" s="23">
        <f t="shared" ca="1" si="7"/>
        <v>0.10345872189479577</v>
      </c>
      <c r="AA94" s="17"/>
      <c r="AB94" s="17"/>
      <c r="AC94" s="17"/>
      <c r="AD94" s="17"/>
    </row>
    <row r="95" spans="1:30" ht="19.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>
        <f t="shared" ca="1" si="20"/>
        <v>94</v>
      </c>
      <c r="M95" s="17">
        <f t="shared" ca="1" si="20"/>
        <v>10</v>
      </c>
      <c r="N95" s="17">
        <f t="shared" ca="1" si="20"/>
        <v>31</v>
      </c>
      <c r="O95" s="17">
        <f t="shared" ca="1" si="20"/>
        <v>94</v>
      </c>
      <c r="P95" s="17">
        <f t="shared" ca="1" si="1"/>
        <v>229</v>
      </c>
      <c r="Q95" s="21">
        <f t="shared" ca="1" si="2"/>
        <v>0.41048034934497818</v>
      </c>
      <c r="R95" s="21">
        <f t="shared" ca="1" si="3"/>
        <v>4.3668122270742356E-2</v>
      </c>
      <c r="S95" s="21">
        <f t="shared" ca="1" si="4"/>
        <v>0.13537117903930132</v>
      </c>
      <c r="T95" s="21">
        <f t="shared" ca="1" si="5"/>
        <v>0.41048034934497818</v>
      </c>
      <c r="U95" s="21">
        <f t="shared" ca="1" si="6"/>
        <v>1</v>
      </c>
      <c r="V95" s="22" t="str">
        <f t="shared" ca="1" si="19"/>
        <v>✅ OK</v>
      </c>
      <c r="W95" s="21"/>
      <c r="X95" s="21"/>
      <c r="Y95" s="21">
        <f t="array" aca="1" ref="Y95" ca="1">MMULT(MMULT(Q95:T95,$G$59:$J$62),TRANSPOSE(Q95:T95))</f>
        <v>4.217958068640866E-2</v>
      </c>
      <c r="Z95" s="23">
        <f t="shared" ca="1" si="7"/>
        <v>0.12523886583705293</v>
      </c>
      <c r="AA95" s="17"/>
      <c r="AB95" s="17"/>
      <c r="AC95" s="17"/>
      <c r="AD95" s="17"/>
    </row>
    <row r="96" spans="1:30" ht="19.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>
        <f t="shared" ca="1" si="20"/>
        <v>57</v>
      </c>
      <c r="M96" s="17">
        <f t="shared" ca="1" si="20"/>
        <v>17</v>
      </c>
      <c r="N96" s="17">
        <f t="shared" ca="1" si="20"/>
        <v>3</v>
      </c>
      <c r="O96" s="17">
        <f t="shared" ca="1" si="20"/>
        <v>24</v>
      </c>
      <c r="P96" s="17">
        <f t="shared" ca="1" si="1"/>
        <v>101</v>
      </c>
      <c r="Q96" s="21">
        <f t="shared" ca="1" si="2"/>
        <v>0.5643564356435643</v>
      </c>
      <c r="R96" s="21">
        <f t="shared" ca="1" si="3"/>
        <v>0.16831683168316833</v>
      </c>
      <c r="S96" s="21">
        <f t="shared" ca="1" si="4"/>
        <v>2.9702970297029702E-2</v>
      </c>
      <c r="T96" s="21">
        <f t="shared" ca="1" si="5"/>
        <v>0.23762376237623761</v>
      </c>
      <c r="U96" s="21">
        <f t="shared" ca="1" si="6"/>
        <v>1</v>
      </c>
      <c r="V96" s="22" t="str">
        <f t="shared" ca="1" si="19"/>
        <v>✅ OK</v>
      </c>
      <c r="W96" s="21"/>
      <c r="X96" s="21"/>
      <c r="Y96" s="21">
        <f t="array" aca="1" ref="Y96" ca="1">MMULT(MMULT(Q96:T96,$G$59:$J$62),TRANSPOSE(Q96:T96))</f>
        <v>3.9427522058494952E-2</v>
      </c>
      <c r="Z96" s="23">
        <f t="shared" ca="1" si="7"/>
        <v>0.10269137583246067</v>
      </c>
      <c r="AA96" s="17"/>
      <c r="AB96" s="17"/>
      <c r="AC96" s="17"/>
      <c r="AD96" s="17"/>
    </row>
    <row r="97" spans="1:30" ht="19.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>
        <f t="shared" ca="1" si="20"/>
        <v>53</v>
      </c>
      <c r="M97" s="17">
        <f t="shared" ca="1" si="20"/>
        <v>88</v>
      </c>
      <c r="N97" s="17">
        <f t="shared" ca="1" si="20"/>
        <v>34</v>
      </c>
      <c r="O97" s="17">
        <f t="shared" ca="1" si="20"/>
        <v>31</v>
      </c>
      <c r="P97" s="17">
        <f t="shared" ca="1" si="1"/>
        <v>206</v>
      </c>
      <c r="Q97" s="21">
        <f t="shared" ca="1" si="2"/>
        <v>0.25728155339805825</v>
      </c>
      <c r="R97" s="21">
        <f t="shared" ca="1" si="3"/>
        <v>0.42718446601941745</v>
      </c>
      <c r="S97" s="21">
        <f t="shared" ca="1" si="4"/>
        <v>0.1650485436893204</v>
      </c>
      <c r="T97" s="21">
        <f t="shared" ca="1" si="5"/>
        <v>0.15048543689320387</v>
      </c>
      <c r="U97" s="21">
        <f t="shared" ca="1" si="6"/>
        <v>1</v>
      </c>
      <c r="V97" s="22" t="str">
        <f t="shared" ca="1" si="19"/>
        <v>✅ OK</v>
      </c>
      <c r="W97" s="21"/>
      <c r="X97" s="21"/>
      <c r="Y97" s="21">
        <f t="array" aca="1" ref="Y97" ca="1">MMULT(MMULT(Q97:T97,$G$59:$J$62),TRANSPOSE(Q97:T97))</f>
        <v>4.9028553850591031E-2</v>
      </c>
      <c r="Z97" s="23">
        <f t="shared" ca="1" si="7"/>
        <v>9.1325013940790803E-2</v>
      </c>
      <c r="AA97" s="17"/>
      <c r="AB97" s="17"/>
      <c r="AC97" s="17"/>
      <c r="AD97" s="17"/>
    </row>
    <row r="98" spans="1:30" ht="19.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>
        <f t="shared" ref="L98:O101" ca="1" si="21">RANDBETWEEN(0,100)</f>
        <v>64</v>
      </c>
      <c r="M98" s="17">
        <f t="shared" ca="1" si="21"/>
        <v>70</v>
      </c>
      <c r="N98" s="17">
        <f t="shared" ca="1" si="21"/>
        <v>17</v>
      </c>
      <c r="O98" s="17">
        <f t="shared" ca="1" si="21"/>
        <v>35</v>
      </c>
      <c r="P98" s="17">
        <f t="shared" ca="1" si="1"/>
        <v>186</v>
      </c>
      <c r="Q98" s="21">
        <f t="shared" ca="1" si="2"/>
        <v>0.34408602150537637</v>
      </c>
      <c r="R98" s="21">
        <f t="shared" ca="1" si="3"/>
        <v>0.37634408602150538</v>
      </c>
      <c r="S98" s="21">
        <f t="shared" ca="1" si="4"/>
        <v>9.1397849462365593E-2</v>
      </c>
      <c r="T98" s="21">
        <f t="shared" ca="1" si="5"/>
        <v>0.18817204301075269</v>
      </c>
      <c r="U98" s="21">
        <f t="shared" ca="1" si="6"/>
        <v>1</v>
      </c>
      <c r="V98" s="22" t="str">
        <f t="shared" ca="1" si="19"/>
        <v>✅ OK</v>
      </c>
      <c r="W98" s="21"/>
      <c r="X98" s="21"/>
      <c r="Y98" s="21">
        <f t="array" aca="1" ref="Y98" ca="1">MMULT(MMULT(Q98:T98,$G$59:$J$62),TRANSPOSE(Q98:T98))</f>
        <v>4.3334209136377311E-2</v>
      </c>
      <c r="Z98" s="23">
        <f t="shared" ca="1" si="7"/>
        <v>9.6240871586968355E-2</v>
      </c>
      <c r="AA98" s="17"/>
      <c r="AB98" s="17"/>
      <c r="AC98" s="17"/>
      <c r="AD98" s="17"/>
    </row>
    <row r="99" spans="1:30" ht="19.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>
        <f t="shared" ca="1" si="21"/>
        <v>22</v>
      </c>
      <c r="M99" s="17">
        <f t="shared" ca="1" si="21"/>
        <v>78</v>
      </c>
      <c r="N99" s="17">
        <f t="shared" ca="1" si="21"/>
        <v>49</v>
      </c>
      <c r="O99" s="17">
        <f t="shared" ca="1" si="21"/>
        <v>21</v>
      </c>
      <c r="P99" s="17">
        <f t="shared" ca="1" si="1"/>
        <v>170</v>
      </c>
      <c r="Q99" s="21">
        <f t="shared" ca="1" si="2"/>
        <v>0.12941176470588237</v>
      </c>
      <c r="R99" s="21">
        <f t="shared" ca="1" si="3"/>
        <v>0.45882352941176469</v>
      </c>
      <c r="S99" s="21">
        <f t="shared" ca="1" si="4"/>
        <v>0.28823529411764703</v>
      </c>
      <c r="T99" s="21">
        <f t="shared" ca="1" si="5"/>
        <v>0.12352941176470589</v>
      </c>
      <c r="U99" s="21">
        <f t="shared" ca="1" si="6"/>
        <v>1</v>
      </c>
      <c r="V99" s="22" t="str">
        <f t="shared" ca="1" si="19"/>
        <v>✅ OK</v>
      </c>
      <c r="W99" s="21"/>
      <c r="X99" s="21"/>
      <c r="Y99" s="21">
        <f t="array" aca="1" ref="Y99" ca="1">MMULT(MMULT(Q99:T99,$G$59:$J$62),TRANSPOSE(Q99:T99))</f>
        <v>5.8434492884684157E-2</v>
      </c>
      <c r="Z99" s="23">
        <f t="shared" ca="1" si="7"/>
        <v>8.7808858046435109E-2</v>
      </c>
      <c r="AA99" s="17"/>
      <c r="AB99" s="17"/>
      <c r="AC99" s="17"/>
      <c r="AD99" s="17"/>
    </row>
    <row r="100" spans="1:30" ht="19.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>
        <f t="shared" ca="1" si="21"/>
        <v>84</v>
      </c>
      <c r="M100" s="17">
        <f t="shared" ca="1" si="21"/>
        <v>78</v>
      </c>
      <c r="N100" s="17">
        <f t="shared" ca="1" si="21"/>
        <v>90</v>
      </c>
      <c r="O100" s="17">
        <f t="shared" ca="1" si="21"/>
        <v>54</v>
      </c>
      <c r="P100" s="17">
        <f t="shared" ca="1" si="1"/>
        <v>306</v>
      </c>
      <c r="Q100" s="21">
        <f t="shared" ca="1" si="2"/>
        <v>0.27450980392156865</v>
      </c>
      <c r="R100" s="21">
        <f t="shared" ca="1" si="3"/>
        <v>0.25490196078431371</v>
      </c>
      <c r="S100" s="21">
        <f t="shared" ca="1" si="4"/>
        <v>0.29411764705882354</v>
      </c>
      <c r="T100" s="21">
        <f t="shared" ca="1" si="5"/>
        <v>0.17647058823529413</v>
      </c>
      <c r="U100" s="21">
        <f t="shared" ca="1" si="6"/>
        <v>1</v>
      </c>
      <c r="V100" s="22" t="str">
        <f t="shared" ca="1" si="19"/>
        <v>✅ OK</v>
      </c>
      <c r="W100" s="21"/>
      <c r="X100" s="21"/>
      <c r="Y100" s="21">
        <f t="array" aca="1" ref="Y100" ca="1">MMULT(MMULT(Q100:T100,$G$59:$J$62),TRANSPOSE(Q100:T100))</f>
        <v>5.6393394198697086E-2</v>
      </c>
      <c r="Z100" s="23">
        <f t="shared" ca="1" si="7"/>
        <v>9.4714528627087097E-2</v>
      </c>
      <c r="AA100" s="17"/>
      <c r="AB100" s="17"/>
      <c r="AC100" s="17"/>
      <c r="AD100" s="17"/>
    </row>
    <row r="101" spans="1:30" ht="19.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>
        <f t="shared" ca="1" si="21"/>
        <v>22</v>
      </c>
      <c r="M101" s="17">
        <f t="shared" ca="1" si="21"/>
        <v>20</v>
      </c>
      <c r="N101" s="17">
        <f t="shared" ca="1" si="21"/>
        <v>45</v>
      </c>
      <c r="O101" s="17">
        <f t="shared" ca="1" si="21"/>
        <v>85</v>
      </c>
      <c r="P101" s="17">
        <f t="shared" ca="1" si="1"/>
        <v>172</v>
      </c>
      <c r="Q101" s="21">
        <f t="shared" ca="1" si="2"/>
        <v>0.12790697674418605</v>
      </c>
      <c r="R101" s="21">
        <f t="shared" ca="1" si="3"/>
        <v>0.11627906976744186</v>
      </c>
      <c r="S101" s="21">
        <f t="shared" ca="1" si="4"/>
        <v>0.26162790697674421</v>
      </c>
      <c r="T101" s="21">
        <f t="shared" ca="1" si="5"/>
        <v>0.4941860465116279</v>
      </c>
      <c r="U101" s="21">
        <f t="shared" ca="1" si="6"/>
        <v>1</v>
      </c>
      <c r="V101" s="22" t="str">
        <f t="shared" ca="1" si="19"/>
        <v>✅ OK</v>
      </c>
      <c r="W101" s="21"/>
      <c r="X101" s="21"/>
      <c r="Y101" s="21">
        <f t="array" aca="1" ref="Y101" ca="1">MMULT(MMULT(Q101:T101,$G$59:$J$62),TRANSPOSE(Q101:T101))</f>
        <v>4.7018855217339388E-2</v>
      </c>
      <c r="Z101" s="23">
        <f t="shared" ca="1" si="7"/>
        <v>0.13615747416601276</v>
      </c>
      <c r="AA101" s="17"/>
      <c r="AB101" s="17"/>
      <c r="AC101" s="17"/>
      <c r="AD101" s="17"/>
    </row>
    <row r="102" spans="1:30" ht="19.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8"/>
      <c r="AA102" s="17"/>
      <c r="AB102" s="17"/>
      <c r="AC102" s="17"/>
      <c r="AD102" s="17"/>
    </row>
    <row r="103" spans="1:30" ht="19.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8"/>
      <c r="AA103" s="17"/>
      <c r="AB103" s="17"/>
      <c r="AC103" s="17"/>
      <c r="AD103" s="17"/>
    </row>
    <row r="104" spans="1:30" ht="19.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8"/>
      <c r="AA104" s="17"/>
      <c r="AB104" s="17"/>
      <c r="AC104" s="17"/>
      <c r="AD104" s="17"/>
    </row>
    <row r="105" spans="1:30" ht="19.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8"/>
      <c r="AA105" s="17"/>
      <c r="AB105" s="17"/>
      <c r="AC105" s="17"/>
      <c r="AD105" s="17"/>
    </row>
    <row r="106" spans="1:30" ht="19.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8"/>
      <c r="AA106" s="17"/>
      <c r="AB106" s="17"/>
      <c r="AC106" s="17"/>
      <c r="AD106" s="17"/>
    </row>
    <row r="107" spans="1:30" ht="19.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8"/>
      <c r="AA107" s="17"/>
      <c r="AB107" s="17"/>
      <c r="AC107" s="17"/>
      <c r="AD107" s="17"/>
    </row>
    <row r="108" spans="1:30" ht="19.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8"/>
      <c r="AA108" s="17"/>
      <c r="AB108" s="17"/>
      <c r="AC108" s="17"/>
      <c r="AD108" s="17"/>
    </row>
    <row r="109" spans="1:30" ht="19.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8"/>
      <c r="AA109" s="17"/>
      <c r="AB109" s="17"/>
      <c r="AC109" s="17"/>
      <c r="AD109" s="17"/>
    </row>
    <row r="110" spans="1:30" ht="19.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8"/>
      <c r="AA110" s="17"/>
      <c r="AB110" s="17"/>
      <c r="AC110" s="17"/>
      <c r="AD110" s="17"/>
    </row>
    <row r="111" spans="1:30" ht="19.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8"/>
      <c r="AA111" s="17"/>
      <c r="AB111" s="17"/>
      <c r="AC111" s="17"/>
      <c r="AD111" s="17"/>
    </row>
    <row r="112" spans="1:30" ht="19.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8"/>
      <c r="AA112" s="17"/>
      <c r="AB112" s="17"/>
      <c r="AC112" s="17"/>
      <c r="AD112" s="17"/>
    </row>
    <row r="113" spans="1:30" ht="19.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8"/>
      <c r="AA113" s="17"/>
      <c r="AB113" s="17"/>
      <c r="AC113" s="17"/>
      <c r="AD113" s="17"/>
    </row>
    <row r="114" spans="1:30" ht="19.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8"/>
      <c r="AA114" s="17"/>
      <c r="AB114" s="17"/>
      <c r="AC114" s="17"/>
      <c r="AD114" s="17"/>
    </row>
    <row r="115" spans="1:30" ht="19.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8"/>
      <c r="AA115" s="17"/>
      <c r="AB115" s="17"/>
      <c r="AC115" s="17"/>
      <c r="AD115" s="17"/>
    </row>
    <row r="116" spans="1:30" ht="19.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8"/>
      <c r="AA116" s="17"/>
      <c r="AB116" s="17"/>
      <c r="AC116" s="17"/>
      <c r="AD116" s="17"/>
    </row>
    <row r="117" spans="1:30" ht="19.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8"/>
      <c r="AA117" s="17"/>
      <c r="AB117" s="17"/>
      <c r="AC117" s="17"/>
      <c r="AD117" s="17"/>
    </row>
    <row r="118" spans="1:30" ht="19.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8"/>
      <c r="AA118" s="17"/>
      <c r="AB118" s="17"/>
      <c r="AC118" s="17"/>
      <c r="AD118" s="17"/>
    </row>
    <row r="119" spans="1:30" ht="19.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8"/>
      <c r="AA119" s="17"/>
      <c r="AB119" s="17"/>
      <c r="AC119" s="17"/>
      <c r="AD119" s="17"/>
    </row>
    <row r="120" spans="1:30" ht="19.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8"/>
      <c r="AA120" s="17"/>
      <c r="AB120" s="17"/>
      <c r="AC120" s="17"/>
      <c r="AD120" s="17"/>
    </row>
    <row r="121" spans="1:30" ht="19.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8"/>
      <c r="AA121" s="17"/>
      <c r="AB121" s="17"/>
      <c r="AC121" s="17"/>
      <c r="AD121" s="17"/>
    </row>
    <row r="122" spans="1:30" ht="19.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8"/>
      <c r="AA122" s="17"/>
      <c r="AB122" s="17"/>
      <c r="AC122" s="17"/>
      <c r="AD122" s="17"/>
    </row>
    <row r="123" spans="1:30" ht="19.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8"/>
      <c r="AA123" s="17"/>
      <c r="AB123" s="17"/>
      <c r="AC123" s="17"/>
      <c r="AD123" s="17"/>
    </row>
    <row r="124" spans="1:30" ht="19.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8"/>
      <c r="AA124" s="17"/>
      <c r="AB124" s="17"/>
      <c r="AC124" s="17"/>
      <c r="AD124" s="17"/>
    </row>
    <row r="125" spans="1:30" ht="19.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8"/>
      <c r="AA125" s="17"/>
      <c r="AB125" s="17"/>
      <c r="AC125" s="17"/>
      <c r="AD125" s="17"/>
    </row>
    <row r="126" spans="1:30" ht="19.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8"/>
      <c r="AA126" s="17"/>
      <c r="AB126" s="17"/>
      <c r="AC126" s="17"/>
      <c r="AD126" s="17"/>
    </row>
    <row r="127" spans="1:30" ht="19.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8"/>
      <c r="AA127" s="17"/>
      <c r="AB127" s="17"/>
      <c r="AC127" s="17"/>
      <c r="AD127" s="17"/>
    </row>
    <row r="128" spans="1:30" ht="19.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8"/>
      <c r="AA128" s="17"/>
      <c r="AB128" s="17"/>
      <c r="AC128" s="17"/>
      <c r="AD128" s="17"/>
    </row>
    <row r="129" spans="1:30" ht="19.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8"/>
      <c r="AA129" s="17"/>
      <c r="AB129" s="17"/>
      <c r="AC129" s="17"/>
      <c r="AD129" s="17"/>
    </row>
    <row r="130" spans="1:30" ht="19.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8"/>
      <c r="AA130" s="17"/>
      <c r="AB130" s="17"/>
      <c r="AC130" s="17"/>
      <c r="AD130" s="17"/>
    </row>
    <row r="131" spans="1:30" ht="19.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8"/>
      <c r="AA131" s="17"/>
      <c r="AB131" s="17"/>
      <c r="AC131" s="17"/>
      <c r="AD131" s="17"/>
    </row>
    <row r="132" spans="1:30" ht="19.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8"/>
      <c r="AA132" s="17"/>
      <c r="AB132" s="17"/>
      <c r="AC132" s="17"/>
      <c r="AD132" s="17"/>
    </row>
    <row r="133" spans="1:30" ht="19.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8"/>
      <c r="AA133" s="17"/>
      <c r="AB133" s="17"/>
      <c r="AC133" s="17"/>
      <c r="AD133" s="17"/>
    </row>
    <row r="134" spans="1:30" ht="19.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8"/>
      <c r="AA134" s="17"/>
      <c r="AB134" s="17"/>
      <c r="AC134" s="17"/>
      <c r="AD134" s="17"/>
    </row>
    <row r="135" spans="1:30" ht="19.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8"/>
      <c r="AA135" s="17"/>
      <c r="AB135" s="17"/>
      <c r="AC135" s="17"/>
      <c r="AD135" s="17"/>
    </row>
    <row r="136" spans="1:30" ht="19.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8"/>
      <c r="AA136" s="17"/>
      <c r="AB136" s="17"/>
      <c r="AC136" s="17"/>
      <c r="AD136" s="17"/>
    </row>
    <row r="137" spans="1:30" ht="19.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8"/>
      <c r="AA137" s="17"/>
      <c r="AB137" s="17"/>
      <c r="AC137" s="17"/>
      <c r="AD137" s="17"/>
    </row>
    <row r="138" spans="1:30" ht="19.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8"/>
      <c r="AA138" s="17"/>
      <c r="AB138" s="17"/>
      <c r="AC138" s="17"/>
      <c r="AD138" s="17"/>
    </row>
    <row r="139" spans="1:30" ht="19.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8"/>
      <c r="AA139" s="17"/>
      <c r="AB139" s="17"/>
      <c r="AC139" s="17"/>
      <c r="AD139" s="17"/>
    </row>
    <row r="140" spans="1:30" ht="19.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8"/>
      <c r="AA140" s="17"/>
      <c r="AB140" s="17"/>
      <c r="AC140" s="17"/>
      <c r="AD140" s="17"/>
    </row>
    <row r="141" spans="1:30" ht="19.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8"/>
      <c r="AA141" s="17"/>
      <c r="AB141" s="17"/>
      <c r="AC141" s="17"/>
      <c r="AD141" s="17"/>
    </row>
    <row r="142" spans="1:30" ht="19.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8"/>
      <c r="AA142" s="17"/>
      <c r="AB142" s="17"/>
      <c r="AC142" s="17"/>
      <c r="AD142" s="17"/>
    </row>
    <row r="143" spans="1:30" ht="19.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8"/>
      <c r="AA143" s="17"/>
      <c r="AB143" s="17"/>
      <c r="AC143" s="17"/>
      <c r="AD143" s="17"/>
    </row>
    <row r="144" spans="1:30" ht="19.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8"/>
      <c r="AA144" s="17"/>
      <c r="AB144" s="17"/>
      <c r="AC144" s="17"/>
      <c r="AD144" s="17"/>
    </row>
    <row r="145" spans="1:30" ht="19.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8"/>
      <c r="AA145" s="17"/>
      <c r="AB145" s="17"/>
      <c r="AC145" s="17"/>
      <c r="AD145" s="17"/>
    </row>
    <row r="146" spans="1:30" ht="19.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8"/>
      <c r="AA146" s="17"/>
      <c r="AB146" s="17"/>
      <c r="AC146" s="17"/>
      <c r="AD146" s="17"/>
    </row>
    <row r="147" spans="1:30" ht="19.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8"/>
      <c r="AA147" s="17"/>
      <c r="AB147" s="17"/>
      <c r="AC147" s="17"/>
      <c r="AD147" s="17"/>
    </row>
    <row r="148" spans="1:30" ht="19.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8"/>
      <c r="AA148" s="17"/>
      <c r="AB148" s="17"/>
      <c r="AC148" s="17"/>
      <c r="AD148" s="17"/>
    </row>
    <row r="149" spans="1:30" ht="19.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8"/>
      <c r="AA149" s="17"/>
      <c r="AB149" s="17"/>
      <c r="AC149" s="17"/>
      <c r="AD149" s="17"/>
    </row>
    <row r="150" spans="1:30" ht="19.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8"/>
      <c r="AA150" s="17"/>
      <c r="AB150" s="17"/>
      <c r="AC150" s="17"/>
      <c r="AD150" s="17"/>
    </row>
    <row r="151" spans="1:30" ht="19.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8"/>
      <c r="AA151" s="17"/>
      <c r="AB151" s="17"/>
      <c r="AC151" s="17"/>
      <c r="AD151" s="17"/>
    </row>
    <row r="152" spans="1:30" ht="19.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8"/>
      <c r="AA152" s="17"/>
      <c r="AB152" s="17"/>
      <c r="AC152" s="17"/>
      <c r="AD152" s="17"/>
    </row>
    <row r="153" spans="1:30" ht="19.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8"/>
      <c r="AA153" s="17"/>
      <c r="AB153" s="17"/>
      <c r="AC153" s="17"/>
      <c r="AD153" s="17"/>
    </row>
    <row r="154" spans="1:30" ht="19.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8"/>
      <c r="AA154" s="17"/>
      <c r="AB154" s="17"/>
      <c r="AC154" s="17"/>
      <c r="AD154" s="17"/>
    </row>
    <row r="155" spans="1:30" ht="19.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8"/>
      <c r="AA155" s="17"/>
      <c r="AB155" s="17"/>
      <c r="AC155" s="17"/>
      <c r="AD155" s="17"/>
    </row>
    <row r="156" spans="1:30" ht="19.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8"/>
      <c r="AA156" s="17"/>
      <c r="AB156" s="17"/>
      <c r="AC156" s="17"/>
      <c r="AD156" s="17"/>
    </row>
    <row r="157" spans="1:30" ht="19.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8"/>
      <c r="AA157" s="17"/>
      <c r="AB157" s="17"/>
      <c r="AC157" s="17"/>
      <c r="AD157" s="17"/>
    </row>
    <row r="158" spans="1:30" ht="19.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8"/>
      <c r="AA158" s="17"/>
      <c r="AB158" s="17"/>
      <c r="AC158" s="17"/>
      <c r="AD158" s="17"/>
    </row>
    <row r="159" spans="1:30" ht="19.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8"/>
      <c r="AA159" s="17"/>
      <c r="AB159" s="17"/>
      <c r="AC159" s="17"/>
      <c r="AD159" s="17"/>
    </row>
    <row r="160" spans="1:30" ht="19.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8"/>
      <c r="AA160" s="17"/>
      <c r="AB160" s="17"/>
      <c r="AC160" s="17"/>
      <c r="AD160" s="17"/>
    </row>
    <row r="161" spans="1:30" ht="19.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8"/>
      <c r="AA161" s="17"/>
      <c r="AB161" s="17"/>
      <c r="AC161" s="17"/>
      <c r="AD161" s="17"/>
    </row>
    <row r="162" spans="1:30" ht="19.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8"/>
      <c r="AA162" s="17"/>
      <c r="AB162" s="17"/>
      <c r="AC162" s="17"/>
      <c r="AD162" s="17"/>
    </row>
    <row r="163" spans="1:30" ht="19.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8"/>
      <c r="AA163" s="17"/>
      <c r="AB163" s="17"/>
      <c r="AC163" s="17"/>
      <c r="AD163" s="17"/>
    </row>
    <row r="164" spans="1:30" ht="19.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8"/>
      <c r="AA164" s="17"/>
      <c r="AB164" s="17"/>
      <c r="AC164" s="17"/>
      <c r="AD164" s="17"/>
    </row>
    <row r="165" spans="1:30" ht="19.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8"/>
      <c r="AA165" s="17"/>
      <c r="AB165" s="17"/>
      <c r="AC165" s="17"/>
      <c r="AD165" s="17"/>
    </row>
    <row r="166" spans="1:30" ht="19.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8"/>
      <c r="AA166" s="17"/>
      <c r="AB166" s="17"/>
      <c r="AC166" s="17"/>
      <c r="AD166" s="17"/>
    </row>
    <row r="167" spans="1:30" ht="19.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8"/>
      <c r="AA167" s="17"/>
      <c r="AB167" s="17"/>
      <c r="AC167" s="17"/>
      <c r="AD167" s="17"/>
    </row>
    <row r="168" spans="1:30" ht="19.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8"/>
      <c r="AA168" s="17"/>
      <c r="AB168" s="17"/>
      <c r="AC168" s="17"/>
      <c r="AD168" s="17"/>
    </row>
    <row r="169" spans="1:30" ht="19.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8"/>
      <c r="AA169" s="17"/>
      <c r="AB169" s="17"/>
      <c r="AC169" s="17"/>
      <c r="AD169" s="17"/>
    </row>
    <row r="170" spans="1:30" ht="19.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8"/>
      <c r="AA170" s="17"/>
      <c r="AB170" s="17"/>
      <c r="AC170" s="17"/>
      <c r="AD170" s="17"/>
    </row>
    <row r="171" spans="1:30" ht="19.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8"/>
      <c r="AA171" s="17"/>
      <c r="AB171" s="17"/>
      <c r="AC171" s="17"/>
      <c r="AD171" s="17"/>
    </row>
    <row r="172" spans="1:30" ht="19.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8"/>
      <c r="AA172" s="17"/>
      <c r="AB172" s="17"/>
      <c r="AC172" s="17"/>
      <c r="AD172" s="17"/>
    </row>
    <row r="173" spans="1:30" ht="19.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8"/>
      <c r="AA173" s="17"/>
      <c r="AB173" s="17"/>
      <c r="AC173" s="17"/>
      <c r="AD173" s="17"/>
    </row>
    <row r="174" spans="1:30" ht="19.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8"/>
      <c r="AA174" s="17"/>
      <c r="AB174" s="17"/>
      <c r="AC174" s="17"/>
      <c r="AD174" s="17"/>
    </row>
    <row r="175" spans="1:30" ht="19.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8"/>
      <c r="AA175" s="17"/>
      <c r="AB175" s="17"/>
      <c r="AC175" s="17"/>
      <c r="AD175" s="17"/>
    </row>
    <row r="176" spans="1:30" ht="19.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8"/>
      <c r="AA176" s="17"/>
      <c r="AB176" s="17"/>
      <c r="AC176" s="17"/>
      <c r="AD176" s="17"/>
    </row>
    <row r="177" spans="1:30" ht="19.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8"/>
      <c r="AA177" s="17"/>
      <c r="AB177" s="17"/>
      <c r="AC177" s="17"/>
      <c r="AD177" s="17"/>
    </row>
    <row r="178" spans="1:30" ht="19.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8"/>
      <c r="AA178" s="17"/>
      <c r="AB178" s="17"/>
      <c r="AC178" s="17"/>
      <c r="AD178" s="17"/>
    </row>
    <row r="179" spans="1:30" ht="19.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8"/>
      <c r="AA179" s="17"/>
      <c r="AB179" s="17"/>
      <c r="AC179" s="17"/>
      <c r="AD179" s="17"/>
    </row>
    <row r="180" spans="1:30" ht="19.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8"/>
      <c r="AA180" s="17"/>
      <c r="AB180" s="17"/>
      <c r="AC180" s="17"/>
      <c r="AD180" s="17"/>
    </row>
    <row r="181" spans="1:30" ht="19.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8"/>
      <c r="AA181" s="17"/>
      <c r="AB181" s="17"/>
      <c r="AC181" s="17"/>
      <c r="AD181" s="17"/>
    </row>
    <row r="182" spans="1:30" ht="19.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8"/>
      <c r="AA182" s="17"/>
      <c r="AB182" s="17"/>
      <c r="AC182" s="17"/>
      <c r="AD182" s="17"/>
    </row>
    <row r="183" spans="1:30" ht="19.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8"/>
      <c r="AA183" s="17"/>
      <c r="AB183" s="17"/>
      <c r="AC183" s="17"/>
      <c r="AD183" s="17"/>
    </row>
    <row r="184" spans="1:30" ht="19.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8"/>
      <c r="AA184" s="17"/>
      <c r="AB184" s="17"/>
      <c r="AC184" s="17"/>
      <c r="AD184" s="17"/>
    </row>
    <row r="185" spans="1:30" ht="19.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8"/>
      <c r="AA185" s="17"/>
      <c r="AB185" s="17"/>
      <c r="AC185" s="17"/>
      <c r="AD185" s="17"/>
    </row>
    <row r="186" spans="1:30" ht="19.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8"/>
      <c r="AA186" s="17"/>
      <c r="AB186" s="17"/>
      <c r="AC186" s="17"/>
      <c r="AD186" s="17"/>
    </row>
    <row r="187" spans="1:30" ht="19.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8"/>
      <c r="AA187" s="17"/>
      <c r="AB187" s="17"/>
      <c r="AC187" s="17"/>
      <c r="AD187" s="17"/>
    </row>
    <row r="188" spans="1:30" ht="19.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8"/>
      <c r="AA188" s="17"/>
      <c r="AB188" s="17"/>
      <c r="AC188" s="17"/>
      <c r="AD188" s="17"/>
    </row>
    <row r="189" spans="1:30" ht="19.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8"/>
      <c r="AA189" s="17"/>
      <c r="AB189" s="17"/>
      <c r="AC189" s="17"/>
      <c r="AD189" s="17"/>
    </row>
    <row r="190" spans="1:30" ht="19.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8"/>
      <c r="AA190" s="17"/>
      <c r="AB190" s="17"/>
      <c r="AC190" s="17"/>
      <c r="AD190" s="17"/>
    </row>
    <row r="191" spans="1:30" ht="19.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8"/>
      <c r="AA191" s="17"/>
      <c r="AB191" s="17"/>
      <c r="AC191" s="17"/>
      <c r="AD191" s="17"/>
    </row>
    <row r="192" spans="1:30" ht="19.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8"/>
      <c r="AA192" s="17"/>
      <c r="AB192" s="17"/>
      <c r="AC192" s="17"/>
      <c r="AD192" s="17"/>
    </row>
    <row r="193" spans="1:30" ht="19.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8"/>
      <c r="AA193" s="17"/>
      <c r="AB193" s="17"/>
      <c r="AC193" s="17"/>
      <c r="AD193" s="17"/>
    </row>
    <row r="194" spans="1:30" ht="19.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8"/>
      <c r="AA194" s="17"/>
      <c r="AB194" s="17"/>
      <c r="AC194" s="17"/>
      <c r="AD194" s="17"/>
    </row>
    <row r="195" spans="1:30" ht="19.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8"/>
      <c r="AA195" s="17"/>
      <c r="AB195" s="17"/>
      <c r="AC195" s="17"/>
      <c r="AD195" s="17"/>
    </row>
    <row r="196" spans="1:30" ht="19.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8"/>
      <c r="AA196" s="17"/>
      <c r="AB196" s="17"/>
      <c r="AC196" s="17"/>
      <c r="AD196" s="17"/>
    </row>
    <row r="197" spans="1:30" ht="19.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8"/>
      <c r="AA197" s="17"/>
      <c r="AB197" s="17"/>
      <c r="AC197" s="17"/>
      <c r="AD197" s="17"/>
    </row>
    <row r="198" spans="1:30" ht="19.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8"/>
      <c r="AA198" s="17"/>
      <c r="AB198" s="17"/>
      <c r="AC198" s="17"/>
      <c r="AD198" s="17"/>
    </row>
    <row r="199" spans="1:30" ht="19.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8"/>
      <c r="AA199" s="17"/>
      <c r="AB199" s="17"/>
      <c r="AC199" s="17"/>
      <c r="AD199" s="17"/>
    </row>
    <row r="200" spans="1:30" ht="19.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8"/>
      <c r="AA200" s="17"/>
      <c r="AB200" s="17"/>
      <c r="AC200" s="17"/>
      <c r="AD200" s="17"/>
    </row>
    <row r="201" spans="1:30" ht="19.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8"/>
      <c r="AA201" s="17"/>
      <c r="AB201" s="17"/>
      <c r="AC201" s="17"/>
      <c r="AD201" s="17"/>
    </row>
    <row r="202" spans="1:30" ht="19.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8"/>
      <c r="AA202" s="17"/>
      <c r="AB202" s="17"/>
      <c r="AC202" s="17"/>
      <c r="AD202" s="17"/>
    </row>
    <row r="203" spans="1:30" ht="19.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8"/>
      <c r="AA203" s="17"/>
      <c r="AB203" s="17"/>
      <c r="AC203" s="17"/>
      <c r="AD203" s="17"/>
    </row>
    <row r="204" spans="1:30" ht="19.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8"/>
      <c r="AA204" s="17"/>
      <c r="AB204" s="17"/>
      <c r="AC204" s="17"/>
      <c r="AD204" s="17"/>
    </row>
    <row r="205" spans="1:30" ht="19.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8"/>
      <c r="AA205" s="17"/>
      <c r="AB205" s="17"/>
      <c r="AC205" s="17"/>
      <c r="AD205" s="17"/>
    </row>
    <row r="206" spans="1:30" ht="19.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8"/>
      <c r="AA206" s="17"/>
      <c r="AB206" s="17"/>
      <c r="AC206" s="17"/>
      <c r="AD206" s="17"/>
    </row>
    <row r="207" spans="1:30" ht="19.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8"/>
      <c r="AA207" s="17"/>
      <c r="AB207" s="17"/>
      <c r="AC207" s="17"/>
      <c r="AD207" s="17"/>
    </row>
    <row r="208" spans="1:30" ht="19.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8"/>
      <c r="AA208" s="17"/>
      <c r="AB208" s="17"/>
      <c r="AC208" s="17"/>
      <c r="AD208" s="17"/>
    </row>
    <row r="209" spans="1:30" ht="19.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8"/>
      <c r="AA209" s="17"/>
      <c r="AB209" s="17"/>
      <c r="AC209" s="17"/>
      <c r="AD209" s="17"/>
    </row>
    <row r="210" spans="1:30" ht="19.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8"/>
      <c r="AA210" s="17"/>
      <c r="AB210" s="17"/>
      <c r="AC210" s="17"/>
      <c r="AD210" s="17"/>
    </row>
    <row r="211" spans="1:30" ht="19.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8"/>
      <c r="AA211" s="17"/>
      <c r="AB211" s="17"/>
      <c r="AC211" s="17"/>
      <c r="AD211" s="17"/>
    </row>
    <row r="212" spans="1:30" ht="19.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8"/>
      <c r="AA212" s="17"/>
      <c r="AB212" s="17"/>
      <c r="AC212" s="17"/>
      <c r="AD212" s="17"/>
    </row>
    <row r="213" spans="1:30" ht="19.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8"/>
      <c r="AA213" s="17"/>
      <c r="AB213" s="17"/>
      <c r="AC213" s="17"/>
      <c r="AD213" s="17"/>
    </row>
    <row r="214" spans="1:30" ht="19.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8"/>
      <c r="AA214" s="17"/>
      <c r="AB214" s="17"/>
      <c r="AC214" s="17"/>
      <c r="AD214" s="17"/>
    </row>
    <row r="215" spans="1:30" ht="19.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8"/>
      <c r="AA215" s="17"/>
      <c r="AB215" s="17"/>
      <c r="AC215" s="17"/>
      <c r="AD215" s="17"/>
    </row>
    <row r="216" spans="1:30" ht="19.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8"/>
      <c r="AA216" s="17"/>
      <c r="AB216" s="17"/>
      <c r="AC216" s="17"/>
      <c r="AD216" s="17"/>
    </row>
    <row r="217" spans="1:30" ht="19.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8"/>
      <c r="AA217" s="17"/>
      <c r="AB217" s="17"/>
      <c r="AC217" s="17"/>
      <c r="AD217" s="17"/>
    </row>
    <row r="218" spans="1:30" ht="19.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8"/>
      <c r="AA218" s="17"/>
      <c r="AB218" s="17"/>
      <c r="AC218" s="17"/>
      <c r="AD218" s="17"/>
    </row>
    <row r="219" spans="1:30" ht="19.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8"/>
      <c r="AA219" s="17"/>
      <c r="AB219" s="17"/>
      <c r="AC219" s="17"/>
      <c r="AD219" s="17"/>
    </row>
    <row r="220" spans="1:30" ht="19.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8"/>
      <c r="AA220" s="17"/>
      <c r="AB220" s="17"/>
      <c r="AC220" s="17"/>
      <c r="AD220" s="17"/>
    </row>
    <row r="221" spans="1:30" ht="19.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8"/>
      <c r="AA221" s="17"/>
      <c r="AB221" s="17"/>
      <c r="AC221" s="17"/>
      <c r="AD221" s="17"/>
    </row>
    <row r="222" spans="1:30" ht="19.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8"/>
      <c r="AA222" s="17"/>
      <c r="AB222" s="17"/>
      <c r="AC222" s="17"/>
      <c r="AD222" s="17"/>
    </row>
    <row r="223" spans="1:30" ht="19.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8"/>
      <c r="AA223" s="17"/>
      <c r="AB223" s="17"/>
      <c r="AC223" s="17"/>
      <c r="AD223" s="17"/>
    </row>
    <row r="224" spans="1:30" ht="19.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8"/>
      <c r="AA224" s="17"/>
      <c r="AB224" s="17"/>
      <c r="AC224" s="17"/>
      <c r="AD224" s="17"/>
    </row>
    <row r="225" spans="1:30" ht="19.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8"/>
      <c r="AA225" s="17"/>
      <c r="AB225" s="17"/>
      <c r="AC225" s="17"/>
      <c r="AD225" s="17"/>
    </row>
    <row r="226" spans="1:30" ht="19.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8"/>
      <c r="AA226" s="17"/>
      <c r="AB226" s="17"/>
      <c r="AC226" s="17"/>
      <c r="AD226" s="17"/>
    </row>
    <row r="227" spans="1:30" ht="19.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8"/>
      <c r="AA227" s="17"/>
      <c r="AB227" s="17"/>
      <c r="AC227" s="17"/>
      <c r="AD227" s="17"/>
    </row>
    <row r="228" spans="1:30" ht="19.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8"/>
      <c r="AA228" s="17"/>
      <c r="AB228" s="17"/>
      <c r="AC228" s="17"/>
      <c r="AD228" s="17"/>
    </row>
    <row r="229" spans="1:30" ht="19.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8"/>
      <c r="AA229" s="17"/>
      <c r="AB229" s="17"/>
      <c r="AC229" s="17"/>
      <c r="AD229" s="17"/>
    </row>
    <row r="230" spans="1:30" ht="19.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8"/>
      <c r="AA230" s="17"/>
      <c r="AB230" s="17"/>
      <c r="AC230" s="17"/>
      <c r="AD230" s="17"/>
    </row>
    <row r="231" spans="1:30" ht="19.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8"/>
      <c r="AA231" s="17"/>
      <c r="AB231" s="17"/>
      <c r="AC231" s="17"/>
      <c r="AD231" s="17"/>
    </row>
    <row r="232" spans="1:30" ht="19.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8"/>
      <c r="AA232" s="17"/>
      <c r="AB232" s="17"/>
      <c r="AC232" s="17"/>
      <c r="AD232" s="17"/>
    </row>
    <row r="233" spans="1:30" ht="19.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8"/>
      <c r="AA233" s="17"/>
      <c r="AB233" s="17"/>
      <c r="AC233" s="17"/>
      <c r="AD233" s="17"/>
    </row>
    <row r="234" spans="1:30" ht="19.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8"/>
      <c r="AA234" s="17"/>
      <c r="AB234" s="17"/>
      <c r="AC234" s="17"/>
      <c r="AD234" s="17"/>
    </row>
    <row r="235" spans="1:30" ht="19.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8"/>
      <c r="AA235" s="17"/>
      <c r="AB235" s="17"/>
      <c r="AC235" s="17"/>
      <c r="AD235" s="17"/>
    </row>
    <row r="236" spans="1:30" ht="19.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8"/>
      <c r="AA236" s="17"/>
      <c r="AB236" s="17"/>
      <c r="AC236" s="17"/>
      <c r="AD236" s="17"/>
    </row>
    <row r="237" spans="1:30" ht="19.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8"/>
      <c r="AA237" s="17"/>
      <c r="AB237" s="17"/>
      <c r="AC237" s="17"/>
      <c r="AD237" s="17"/>
    </row>
    <row r="238" spans="1:30" ht="19.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8"/>
      <c r="AA238" s="17"/>
      <c r="AB238" s="17"/>
      <c r="AC238" s="17"/>
      <c r="AD238" s="17"/>
    </row>
    <row r="239" spans="1:30" ht="19.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8"/>
      <c r="AA239" s="17"/>
      <c r="AB239" s="17"/>
      <c r="AC239" s="17"/>
      <c r="AD239" s="17"/>
    </row>
    <row r="240" spans="1:30" ht="19.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8"/>
      <c r="AA240" s="17"/>
      <c r="AB240" s="17"/>
      <c r="AC240" s="17"/>
      <c r="AD240" s="17"/>
    </row>
    <row r="241" spans="1:30" ht="19.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8"/>
      <c r="AA241" s="17"/>
      <c r="AB241" s="17"/>
      <c r="AC241" s="17"/>
      <c r="AD241" s="17"/>
    </row>
    <row r="242" spans="1:30" ht="19.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8"/>
      <c r="AA242" s="17"/>
      <c r="AB242" s="17"/>
      <c r="AC242" s="17"/>
      <c r="AD242" s="17"/>
    </row>
    <row r="243" spans="1:30" ht="19.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8"/>
      <c r="AA243" s="17"/>
      <c r="AB243" s="17"/>
      <c r="AC243" s="17"/>
      <c r="AD243" s="17"/>
    </row>
    <row r="244" spans="1:30" ht="19.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8"/>
      <c r="AA244" s="17"/>
      <c r="AB244" s="17"/>
      <c r="AC244" s="17"/>
      <c r="AD244" s="17"/>
    </row>
    <row r="245" spans="1:30" ht="19.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8"/>
      <c r="AA245" s="17"/>
      <c r="AB245" s="17"/>
      <c r="AC245" s="17"/>
      <c r="AD245" s="17"/>
    </row>
    <row r="246" spans="1:30" ht="19.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8"/>
      <c r="AA246" s="17"/>
      <c r="AB246" s="17"/>
      <c r="AC246" s="17"/>
      <c r="AD246" s="17"/>
    </row>
    <row r="247" spans="1:30" ht="19.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8"/>
      <c r="AA247" s="17"/>
      <c r="AB247" s="17"/>
      <c r="AC247" s="17"/>
      <c r="AD247" s="17"/>
    </row>
    <row r="248" spans="1:30" ht="19.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8"/>
      <c r="AA248" s="17"/>
      <c r="AB248" s="17"/>
      <c r="AC248" s="17"/>
      <c r="AD248" s="17"/>
    </row>
    <row r="249" spans="1:30" ht="19.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8"/>
      <c r="AA249" s="17"/>
      <c r="AB249" s="17"/>
      <c r="AC249" s="17"/>
      <c r="AD249" s="17"/>
    </row>
    <row r="250" spans="1:30" ht="19.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8"/>
      <c r="AA250" s="17"/>
      <c r="AB250" s="17"/>
      <c r="AC250" s="17"/>
      <c r="AD250" s="17"/>
    </row>
    <row r="251" spans="1:30" ht="19.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8"/>
      <c r="AA251" s="17"/>
      <c r="AB251" s="17"/>
      <c r="AC251" s="17"/>
      <c r="AD251" s="17"/>
    </row>
    <row r="252" spans="1:30" ht="19.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8"/>
      <c r="AA252" s="17"/>
      <c r="AB252" s="17"/>
      <c r="AC252" s="17"/>
      <c r="AD252" s="17"/>
    </row>
    <row r="253" spans="1:30" ht="19.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8"/>
      <c r="AA253" s="17"/>
      <c r="AB253" s="17"/>
      <c r="AC253" s="17"/>
      <c r="AD253" s="17"/>
    </row>
    <row r="254" spans="1:30" ht="19.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8"/>
      <c r="AA254" s="17"/>
      <c r="AB254" s="17"/>
      <c r="AC254" s="17"/>
      <c r="AD254" s="17"/>
    </row>
    <row r="255" spans="1:30" ht="19.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8"/>
      <c r="AA255" s="17"/>
      <c r="AB255" s="17"/>
      <c r="AC255" s="17"/>
      <c r="AD255" s="17"/>
    </row>
    <row r="256" spans="1:30" ht="19.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8"/>
      <c r="AA256" s="17"/>
      <c r="AB256" s="17"/>
      <c r="AC256" s="17"/>
      <c r="AD256" s="17"/>
    </row>
    <row r="257" spans="1:30" ht="19.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8"/>
      <c r="AA257" s="17"/>
      <c r="AB257" s="17"/>
      <c r="AC257" s="17"/>
      <c r="AD257" s="17"/>
    </row>
    <row r="258" spans="1:30" ht="19.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8"/>
      <c r="AA258" s="17"/>
      <c r="AB258" s="17"/>
      <c r="AC258" s="17"/>
      <c r="AD258" s="17"/>
    </row>
    <row r="259" spans="1:30" ht="19.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8"/>
      <c r="AA259" s="17"/>
      <c r="AB259" s="17"/>
      <c r="AC259" s="17"/>
      <c r="AD259" s="17"/>
    </row>
    <row r="260" spans="1:30" ht="19.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8"/>
      <c r="AA260" s="17"/>
      <c r="AB260" s="17"/>
      <c r="AC260" s="17"/>
      <c r="AD260" s="17"/>
    </row>
    <row r="261" spans="1:30" ht="19.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8"/>
      <c r="AA261" s="17"/>
      <c r="AB261" s="17"/>
      <c r="AC261" s="17"/>
      <c r="AD261" s="17"/>
    </row>
    <row r="262" spans="1:30" ht="19.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8"/>
      <c r="AA262" s="17"/>
      <c r="AB262" s="17"/>
      <c r="AC262" s="17"/>
      <c r="AD262" s="17"/>
    </row>
    <row r="263" spans="1:30" ht="19.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8"/>
      <c r="AA263" s="17"/>
      <c r="AB263" s="17"/>
      <c r="AC263" s="17"/>
      <c r="AD263" s="17"/>
    </row>
    <row r="264" spans="1:30" ht="19.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8"/>
      <c r="AA264" s="17"/>
      <c r="AB264" s="17"/>
      <c r="AC264" s="17"/>
      <c r="AD264" s="17"/>
    </row>
    <row r="265" spans="1:30" ht="19.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8"/>
      <c r="AA265" s="17"/>
      <c r="AB265" s="17"/>
      <c r="AC265" s="17"/>
      <c r="AD265" s="17"/>
    </row>
    <row r="266" spans="1:30" ht="19.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8"/>
      <c r="AA266" s="17"/>
      <c r="AB266" s="17"/>
      <c r="AC266" s="17"/>
      <c r="AD266" s="17"/>
    </row>
    <row r="267" spans="1:30" ht="19.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8"/>
      <c r="AA267" s="17"/>
      <c r="AB267" s="17"/>
      <c r="AC267" s="17"/>
      <c r="AD267" s="17"/>
    </row>
    <row r="268" spans="1:30" ht="19.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8"/>
      <c r="AA268" s="17"/>
      <c r="AB268" s="17"/>
      <c r="AC268" s="17"/>
      <c r="AD268" s="17"/>
    </row>
    <row r="269" spans="1:30" ht="19.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8"/>
      <c r="AA269" s="17"/>
      <c r="AB269" s="17"/>
      <c r="AC269" s="17"/>
      <c r="AD269" s="17"/>
    </row>
    <row r="270" spans="1:30" ht="19.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8"/>
      <c r="AA270" s="17"/>
      <c r="AB270" s="17"/>
      <c r="AC270" s="17"/>
      <c r="AD270" s="17"/>
    </row>
    <row r="271" spans="1:30" ht="19.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8"/>
      <c r="AA271" s="17"/>
      <c r="AB271" s="17"/>
      <c r="AC271" s="17"/>
      <c r="AD271" s="17"/>
    </row>
    <row r="272" spans="1:30" ht="19.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8"/>
      <c r="AA272" s="17"/>
      <c r="AB272" s="17"/>
      <c r="AC272" s="17"/>
      <c r="AD272" s="17"/>
    </row>
    <row r="273" spans="1:30" ht="19.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8"/>
      <c r="AA273" s="17"/>
      <c r="AB273" s="17"/>
      <c r="AC273" s="17"/>
      <c r="AD273" s="17"/>
    </row>
    <row r="274" spans="1:30" ht="19.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8"/>
      <c r="AA274" s="17"/>
      <c r="AB274" s="17"/>
      <c r="AC274" s="17"/>
      <c r="AD274" s="17"/>
    </row>
    <row r="275" spans="1:30" ht="19.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8"/>
      <c r="AA275" s="17"/>
      <c r="AB275" s="17"/>
      <c r="AC275" s="17"/>
      <c r="AD275" s="17"/>
    </row>
    <row r="276" spans="1:30" ht="19.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8"/>
      <c r="AA276" s="17"/>
      <c r="AB276" s="17"/>
      <c r="AC276" s="17"/>
      <c r="AD276" s="17"/>
    </row>
    <row r="277" spans="1:30" ht="19.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8"/>
      <c r="AA277" s="17"/>
      <c r="AB277" s="17"/>
      <c r="AC277" s="17"/>
      <c r="AD277" s="17"/>
    </row>
    <row r="278" spans="1:30" ht="19.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8"/>
      <c r="AA278" s="17"/>
      <c r="AB278" s="17"/>
      <c r="AC278" s="17"/>
      <c r="AD278" s="17"/>
    </row>
    <row r="279" spans="1:30" ht="19.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8"/>
      <c r="AA279" s="17"/>
      <c r="AB279" s="17"/>
      <c r="AC279" s="17"/>
      <c r="AD279" s="17"/>
    </row>
    <row r="280" spans="1:30" ht="19.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8"/>
      <c r="AA280" s="17"/>
      <c r="AB280" s="17"/>
      <c r="AC280" s="17"/>
      <c r="AD280" s="17"/>
    </row>
    <row r="281" spans="1:30" ht="19.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8"/>
      <c r="AA281" s="17"/>
      <c r="AB281" s="17"/>
      <c r="AC281" s="17"/>
      <c r="AD281" s="17"/>
    </row>
    <row r="282" spans="1:30" ht="19.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8"/>
      <c r="AA282" s="17"/>
      <c r="AB282" s="17"/>
      <c r="AC282" s="17"/>
      <c r="AD282" s="17"/>
    </row>
    <row r="283" spans="1:30" ht="19.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8"/>
      <c r="AA283" s="17"/>
      <c r="AB283" s="17"/>
      <c r="AC283" s="17"/>
      <c r="AD283" s="17"/>
    </row>
    <row r="284" spans="1:30" ht="19.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8"/>
      <c r="AA284" s="17"/>
      <c r="AB284" s="17"/>
      <c r="AC284" s="17"/>
      <c r="AD284" s="17"/>
    </row>
    <row r="285" spans="1:30" ht="19.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8"/>
      <c r="AA285" s="17"/>
      <c r="AB285" s="17"/>
      <c r="AC285" s="17"/>
      <c r="AD285" s="17"/>
    </row>
    <row r="286" spans="1:30" ht="19.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8"/>
      <c r="AA286" s="17"/>
      <c r="AB286" s="17"/>
      <c r="AC286" s="17"/>
      <c r="AD286" s="17"/>
    </row>
    <row r="287" spans="1:30" ht="19.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8"/>
      <c r="AA287" s="17"/>
      <c r="AB287" s="17"/>
      <c r="AC287" s="17"/>
      <c r="AD287" s="17"/>
    </row>
    <row r="288" spans="1:30" ht="19.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8"/>
      <c r="AA288" s="17"/>
      <c r="AB288" s="17"/>
      <c r="AC288" s="17"/>
      <c r="AD288" s="17"/>
    </row>
    <row r="289" spans="1:30" ht="19.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8"/>
      <c r="AA289" s="17"/>
      <c r="AB289" s="17"/>
      <c r="AC289" s="17"/>
      <c r="AD289" s="17"/>
    </row>
    <row r="290" spans="1:30" ht="19.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8"/>
      <c r="AA290" s="17"/>
      <c r="AB290" s="17"/>
      <c r="AC290" s="17"/>
      <c r="AD290" s="17"/>
    </row>
    <row r="291" spans="1:30" ht="19.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8"/>
      <c r="AA291" s="17"/>
      <c r="AB291" s="17"/>
      <c r="AC291" s="17"/>
      <c r="AD291" s="17"/>
    </row>
    <row r="292" spans="1:30" ht="19.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8"/>
      <c r="AA292" s="17"/>
      <c r="AB292" s="17"/>
      <c r="AC292" s="17"/>
      <c r="AD292" s="17"/>
    </row>
    <row r="293" spans="1:30" ht="19.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8"/>
      <c r="AA293" s="17"/>
      <c r="AB293" s="17"/>
      <c r="AC293" s="17"/>
      <c r="AD293" s="17"/>
    </row>
    <row r="294" spans="1:30" ht="19.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8"/>
      <c r="AA294" s="17"/>
      <c r="AB294" s="17"/>
      <c r="AC294" s="17"/>
      <c r="AD294" s="17"/>
    </row>
    <row r="295" spans="1:30" ht="19.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8"/>
      <c r="AA295" s="17"/>
      <c r="AB295" s="17"/>
      <c r="AC295" s="17"/>
      <c r="AD295" s="17"/>
    </row>
    <row r="296" spans="1:30" ht="19.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8"/>
      <c r="AA296" s="17"/>
      <c r="AB296" s="17"/>
      <c r="AC296" s="17"/>
      <c r="AD296" s="17"/>
    </row>
    <row r="297" spans="1:30" ht="19.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8"/>
      <c r="AA297" s="17"/>
      <c r="AB297" s="17"/>
      <c r="AC297" s="17"/>
      <c r="AD297" s="17"/>
    </row>
    <row r="298" spans="1:30" ht="19.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8"/>
      <c r="AA298" s="17"/>
      <c r="AB298" s="17"/>
      <c r="AC298" s="17"/>
      <c r="AD298" s="17"/>
    </row>
    <row r="299" spans="1:30" ht="19.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8"/>
      <c r="AA299" s="17"/>
      <c r="AB299" s="17"/>
      <c r="AC299" s="17"/>
      <c r="AD299" s="17"/>
    </row>
    <row r="300" spans="1:30" ht="19.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8"/>
      <c r="AA300" s="17"/>
      <c r="AB300" s="17"/>
      <c r="AC300" s="17"/>
      <c r="AD300" s="17"/>
    </row>
    <row r="301" spans="1:30" ht="19.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8"/>
      <c r="AA301" s="17"/>
      <c r="AB301" s="17"/>
      <c r="AC301" s="17"/>
      <c r="AD301" s="17"/>
    </row>
    <row r="302" spans="1:30" ht="19.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8"/>
      <c r="AA302" s="17"/>
      <c r="AB302" s="17"/>
      <c r="AC302" s="17"/>
      <c r="AD302" s="17"/>
    </row>
    <row r="303" spans="1:30" ht="19.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8"/>
      <c r="AA303" s="17"/>
      <c r="AB303" s="17"/>
      <c r="AC303" s="17"/>
      <c r="AD303" s="17"/>
    </row>
    <row r="304" spans="1:30" ht="19.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8"/>
      <c r="AA304" s="17"/>
      <c r="AB304" s="17"/>
      <c r="AC304" s="17"/>
      <c r="AD304" s="17"/>
    </row>
    <row r="305" spans="1:30" ht="19.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8"/>
      <c r="AA305" s="17"/>
      <c r="AB305" s="17"/>
      <c r="AC305" s="17"/>
      <c r="AD305" s="17"/>
    </row>
    <row r="306" spans="1:30" ht="19.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8"/>
      <c r="AA306" s="17"/>
      <c r="AB306" s="17"/>
      <c r="AC306" s="17"/>
      <c r="AD306" s="17"/>
    </row>
    <row r="307" spans="1:30" ht="19.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8"/>
      <c r="AA307" s="17"/>
      <c r="AB307" s="17"/>
      <c r="AC307" s="17"/>
      <c r="AD307" s="17"/>
    </row>
    <row r="308" spans="1:30" ht="19.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8"/>
      <c r="AA308" s="17"/>
      <c r="AB308" s="17"/>
      <c r="AC308" s="17"/>
      <c r="AD308" s="17"/>
    </row>
    <row r="309" spans="1:30" ht="19.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8"/>
      <c r="AA309" s="17"/>
      <c r="AB309" s="17"/>
      <c r="AC309" s="17"/>
      <c r="AD309" s="17"/>
    </row>
    <row r="310" spans="1:30" ht="19.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8"/>
      <c r="AA310" s="17"/>
      <c r="AB310" s="17"/>
      <c r="AC310" s="17"/>
      <c r="AD310" s="17"/>
    </row>
    <row r="311" spans="1:30" ht="19.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8"/>
      <c r="AA311" s="17"/>
      <c r="AB311" s="17"/>
      <c r="AC311" s="17"/>
      <c r="AD311" s="17"/>
    </row>
    <row r="312" spans="1:30" ht="19.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8"/>
      <c r="AA312" s="17"/>
      <c r="AB312" s="17"/>
      <c r="AC312" s="17"/>
      <c r="AD312" s="17"/>
    </row>
    <row r="313" spans="1:30" ht="19.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8"/>
      <c r="AA313" s="17"/>
      <c r="AB313" s="17"/>
      <c r="AC313" s="17"/>
      <c r="AD313" s="17"/>
    </row>
    <row r="314" spans="1:30" ht="19.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8"/>
      <c r="AA314" s="17"/>
      <c r="AB314" s="17"/>
      <c r="AC314" s="17"/>
      <c r="AD314" s="17"/>
    </row>
    <row r="315" spans="1:30" ht="19.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8"/>
      <c r="AA315" s="17"/>
      <c r="AB315" s="17"/>
      <c r="AC315" s="17"/>
      <c r="AD315" s="17"/>
    </row>
    <row r="316" spans="1:30" ht="19.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8"/>
      <c r="AA316" s="17"/>
      <c r="AB316" s="17"/>
      <c r="AC316" s="17"/>
      <c r="AD316" s="17"/>
    </row>
    <row r="317" spans="1:30" ht="19.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8"/>
      <c r="AA317" s="17"/>
      <c r="AB317" s="17"/>
      <c r="AC317" s="17"/>
      <c r="AD317" s="17"/>
    </row>
    <row r="318" spans="1:30" ht="19.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8"/>
      <c r="AA318" s="17"/>
      <c r="AB318" s="17"/>
      <c r="AC318" s="17"/>
      <c r="AD318" s="17"/>
    </row>
    <row r="319" spans="1:30" ht="19.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8"/>
      <c r="AA319" s="17"/>
      <c r="AB319" s="17"/>
      <c r="AC319" s="17"/>
      <c r="AD319" s="17"/>
    </row>
    <row r="320" spans="1:30" ht="19.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8"/>
      <c r="AA320" s="17"/>
      <c r="AB320" s="17"/>
      <c r="AC320" s="17"/>
      <c r="AD320" s="17"/>
    </row>
    <row r="321" spans="1:30" ht="19.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8"/>
      <c r="AA321" s="17"/>
      <c r="AB321" s="17"/>
      <c r="AC321" s="17"/>
      <c r="AD321" s="17"/>
    </row>
    <row r="322" spans="1:30" ht="19.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8"/>
      <c r="AA322" s="17"/>
      <c r="AB322" s="17"/>
      <c r="AC322" s="17"/>
      <c r="AD322" s="17"/>
    </row>
    <row r="323" spans="1:30" ht="19.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8"/>
      <c r="AA323" s="17"/>
      <c r="AB323" s="17"/>
      <c r="AC323" s="17"/>
      <c r="AD323" s="17"/>
    </row>
    <row r="324" spans="1:30" ht="19.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8"/>
      <c r="AA324" s="17"/>
      <c r="AB324" s="17"/>
      <c r="AC324" s="17"/>
      <c r="AD324" s="17"/>
    </row>
    <row r="325" spans="1:30" ht="19.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8"/>
      <c r="AA325" s="17"/>
      <c r="AB325" s="17"/>
      <c r="AC325" s="17"/>
      <c r="AD325" s="17"/>
    </row>
    <row r="326" spans="1:30" ht="19.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8"/>
      <c r="AA326" s="17"/>
      <c r="AB326" s="17"/>
      <c r="AC326" s="17"/>
      <c r="AD326" s="17"/>
    </row>
    <row r="327" spans="1:30" ht="19.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8"/>
      <c r="AA327" s="17"/>
      <c r="AB327" s="17"/>
      <c r="AC327" s="17"/>
      <c r="AD327" s="17"/>
    </row>
    <row r="328" spans="1:30" ht="19.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8"/>
      <c r="AA328" s="17"/>
      <c r="AB328" s="17"/>
      <c r="AC328" s="17"/>
      <c r="AD328" s="17"/>
    </row>
    <row r="329" spans="1:30" ht="19.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8"/>
      <c r="AA329" s="17"/>
      <c r="AB329" s="17"/>
      <c r="AC329" s="17"/>
      <c r="AD329" s="17"/>
    </row>
    <row r="330" spans="1:30" ht="19.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8"/>
      <c r="AA330" s="17"/>
      <c r="AB330" s="17"/>
      <c r="AC330" s="17"/>
      <c r="AD330" s="17"/>
    </row>
    <row r="331" spans="1:30" ht="19.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8"/>
      <c r="AA331" s="17"/>
      <c r="AB331" s="17"/>
      <c r="AC331" s="17"/>
      <c r="AD331" s="17"/>
    </row>
    <row r="332" spans="1:30" ht="19.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8"/>
      <c r="AA332" s="17"/>
      <c r="AB332" s="17"/>
      <c r="AC332" s="17"/>
      <c r="AD332" s="17"/>
    </row>
    <row r="333" spans="1:30" ht="19.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8"/>
      <c r="AA333" s="17"/>
      <c r="AB333" s="17"/>
      <c r="AC333" s="17"/>
      <c r="AD333" s="17"/>
    </row>
    <row r="334" spans="1:30" ht="19.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8"/>
      <c r="AA334" s="17"/>
      <c r="AB334" s="17"/>
      <c r="AC334" s="17"/>
      <c r="AD334" s="17"/>
    </row>
    <row r="335" spans="1:30" ht="19.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8"/>
      <c r="AA335" s="17"/>
      <c r="AB335" s="17"/>
      <c r="AC335" s="17"/>
      <c r="AD335" s="17"/>
    </row>
    <row r="336" spans="1:30" ht="19.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8"/>
      <c r="AA336" s="17"/>
      <c r="AB336" s="17"/>
      <c r="AC336" s="17"/>
      <c r="AD336" s="17"/>
    </row>
    <row r="337" spans="1:30" ht="19.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8"/>
      <c r="AA337" s="17"/>
      <c r="AB337" s="17"/>
      <c r="AC337" s="17"/>
      <c r="AD337" s="17"/>
    </row>
    <row r="338" spans="1:30" ht="19.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8"/>
      <c r="AA338" s="17"/>
      <c r="AB338" s="17"/>
      <c r="AC338" s="17"/>
      <c r="AD338" s="17"/>
    </row>
    <row r="339" spans="1:30" ht="19.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8"/>
      <c r="AA339" s="17"/>
      <c r="AB339" s="17"/>
      <c r="AC339" s="17"/>
      <c r="AD339" s="17"/>
    </row>
    <row r="340" spans="1:30" ht="19.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8"/>
      <c r="AA340" s="17"/>
      <c r="AB340" s="17"/>
      <c r="AC340" s="17"/>
      <c r="AD340" s="17"/>
    </row>
    <row r="341" spans="1:30" ht="19.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8"/>
      <c r="AA341" s="17"/>
      <c r="AB341" s="17"/>
      <c r="AC341" s="17"/>
      <c r="AD341" s="17"/>
    </row>
    <row r="342" spans="1:30" ht="19.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8"/>
      <c r="AA342" s="17"/>
      <c r="AB342" s="17"/>
      <c r="AC342" s="17"/>
      <c r="AD342" s="17"/>
    </row>
    <row r="343" spans="1:30" ht="19.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8"/>
      <c r="AA343" s="17"/>
      <c r="AB343" s="17"/>
      <c r="AC343" s="17"/>
      <c r="AD343" s="17"/>
    </row>
    <row r="344" spans="1:30" ht="19.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8"/>
      <c r="AA344" s="17"/>
      <c r="AB344" s="17"/>
      <c r="AC344" s="17"/>
      <c r="AD344" s="17"/>
    </row>
    <row r="345" spans="1:30" ht="19.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8"/>
      <c r="AA345" s="17"/>
      <c r="AB345" s="17"/>
      <c r="AC345" s="17"/>
      <c r="AD345" s="17"/>
    </row>
    <row r="346" spans="1:30" ht="19.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8"/>
      <c r="AA346" s="17"/>
      <c r="AB346" s="17"/>
      <c r="AC346" s="17"/>
      <c r="AD346" s="17"/>
    </row>
    <row r="347" spans="1:30" ht="19.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8"/>
      <c r="AA347" s="17"/>
      <c r="AB347" s="17"/>
      <c r="AC347" s="17"/>
      <c r="AD347" s="17"/>
    </row>
    <row r="348" spans="1:30" ht="19.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8"/>
      <c r="AA348" s="17"/>
      <c r="AB348" s="17"/>
      <c r="AC348" s="17"/>
      <c r="AD348" s="17"/>
    </row>
    <row r="349" spans="1:30" ht="19.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8"/>
      <c r="AA349" s="17"/>
      <c r="AB349" s="17"/>
      <c r="AC349" s="17"/>
      <c r="AD349" s="17"/>
    </row>
    <row r="350" spans="1:30" ht="19.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8"/>
      <c r="AA350" s="17"/>
      <c r="AB350" s="17"/>
      <c r="AC350" s="17"/>
      <c r="AD350" s="17"/>
    </row>
    <row r="351" spans="1:30" ht="19.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8"/>
      <c r="AA351" s="17"/>
      <c r="AB351" s="17"/>
      <c r="AC351" s="17"/>
      <c r="AD351" s="17"/>
    </row>
    <row r="352" spans="1:30" ht="19.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8"/>
      <c r="AA352" s="17"/>
      <c r="AB352" s="17"/>
      <c r="AC352" s="17"/>
      <c r="AD352" s="17"/>
    </row>
    <row r="353" spans="1:30" ht="19.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8"/>
      <c r="AA353" s="17"/>
      <c r="AB353" s="17"/>
      <c r="AC353" s="17"/>
      <c r="AD353" s="17"/>
    </row>
    <row r="354" spans="1:30" ht="19.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8"/>
      <c r="AA354" s="17"/>
      <c r="AB354" s="17"/>
      <c r="AC354" s="17"/>
      <c r="AD354" s="17"/>
    </row>
    <row r="355" spans="1:30" ht="19.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8"/>
      <c r="AA355" s="17"/>
      <c r="AB355" s="17"/>
      <c r="AC355" s="17"/>
      <c r="AD355" s="17"/>
    </row>
    <row r="356" spans="1:30" ht="19.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8"/>
      <c r="AA356" s="17"/>
      <c r="AB356" s="17"/>
      <c r="AC356" s="17"/>
      <c r="AD356" s="17"/>
    </row>
    <row r="357" spans="1:30" ht="19.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8"/>
      <c r="AA357" s="17"/>
      <c r="AB357" s="17"/>
      <c r="AC357" s="17"/>
      <c r="AD357" s="17"/>
    </row>
    <row r="358" spans="1:30" ht="19.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8"/>
      <c r="AA358" s="17"/>
      <c r="AB358" s="17"/>
      <c r="AC358" s="17"/>
      <c r="AD358" s="17"/>
    </row>
    <row r="359" spans="1:30" ht="19.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8"/>
      <c r="AA359" s="17"/>
      <c r="AB359" s="17"/>
      <c r="AC359" s="17"/>
      <c r="AD359" s="17"/>
    </row>
    <row r="360" spans="1:30" ht="19.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8"/>
      <c r="AA360" s="17"/>
      <c r="AB360" s="17"/>
      <c r="AC360" s="17"/>
      <c r="AD360" s="17"/>
    </row>
    <row r="361" spans="1:30" ht="19.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8"/>
      <c r="AA361" s="17"/>
      <c r="AB361" s="17"/>
      <c r="AC361" s="17"/>
      <c r="AD361" s="17"/>
    </row>
    <row r="362" spans="1:30" ht="19.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8"/>
      <c r="AA362" s="17"/>
      <c r="AB362" s="17"/>
      <c r="AC362" s="17"/>
      <c r="AD362" s="17"/>
    </row>
    <row r="363" spans="1:30" ht="19.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8"/>
      <c r="AA363" s="17"/>
      <c r="AB363" s="17"/>
      <c r="AC363" s="17"/>
      <c r="AD363" s="17"/>
    </row>
    <row r="364" spans="1:30" ht="19.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8"/>
      <c r="AA364" s="17"/>
      <c r="AB364" s="17"/>
      <c r="AC364" s="17"/>
      <c r="AD364" s="17"/>
    </row>
    <row r="365" spans="1:30" ht="19.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8"/>
      <c r="AA365" s="17"/>
      <c r="AB365" s="17"/>
      <c r="AC365" s="17"/>
      <c r="AD365" s="17"/>
    </row>
    <row r="366" spans="1:30" ht="19.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8"/>
      <c r="AA366" s="17"/>
      <c r="AB366" s="17"/>
      <c r="AC366" s="17"/>
      <c r="AD366" s="17"/>
    </row>
    <row r="367" spans="1:30" ht="19.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8"/>
      <c r="AA367" s="17"/>
      <c r="AB367" s="17"/>
      <c r="AC367" s="17"/>
      <c r="AD367" s="17"/>
    </row>
    <row r="368" spans="1:30" ht="19.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8"/>
      <c r="AA368" s="17"/>
      <c r="AB368" s="17"/>
      <c r="AC368" s="17"/>
      <c r="AD368" s="17"/>
    </row>
    <row r="369" spans="1:30" ht="19.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8"/>
      <c r="AA369" s="17"/>
      <c r="AB369" s="17"/>
      <c r="AC369" s="17"/>
      <c r="AD369" s="17"/>
    </row>
    <row r="370" spans="1:30" ht="19.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8"/>
      <c r="AA370" s="17"/>
      <c r="AB370" s="17"/>
      <c r="AC370" s="17"/>
      <c r="AD370" s="17"/>
    </row>
    <row r="371" spans="1:30" ht="19.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8"/>
      <c r="AA371" s="17"/>
      <c r="AB371" s="17"/>
      <c r="AC371" s="17"/>
      <c r="AD371" s="17"/>
    </row>
    <row r="372" spans="1:30" ht="19.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8"/>
      <c r="AA372" s="17"/>
      <c r="AB372" s="17"/>
      <c r="AC372" s="17"/>
      <c r="AD372" s="17"/>
    </row>
    <row r="373" spans="1:30" ht="19.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8"/>
      <c r="AA373" s="17"/>
      <c r="AB373" s="17"/>
      <c r="AC373" s="17"/>
      <c r="AD373" s="17"/>
    </row>
    <row r="374" spans="1:30" ht="19.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8"/>
      <c r="AA374" s="17"/>
      <c r="AB374" s="17"/>
      <c r="AC374" s="17"/>
      <c r="AD374" s="17"/>
    </row>
    <row r="375" spans="1:30" ht="19.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8"/>
      <c r="AA375" s="17"/>
      <c r="AB375" s="17"/>
      <c r="AC375" s="17"/>
      <c r="AD375" s="17"/>
    </row>
    <row r="376" spans="1:30" ht="19.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8"/>
      <c r="AA376" s="17"/>
      <c r="AB376" s="17"/>
      <c r="AC376" s="17"/>
      <c r="AD376" s="17"/>
    </row>
    <row r="377" spans="1:30" ht="19.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8"/>
      <c r="AA377" s="17"/>
      <c r="AB377" s="17"/>
      <c r="AC377" s="17"/>
      <c r="AD377" s="17"/>
    </row>
    <row r="378" spans="1:30" ht="19.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8"/>
      <c r="AA378" s="17"/>
      <c r="AB378" s="17"/>
      <c r="AC378" s="17"/>
      <c r="AD378" s="17"/>
    </row>
    <row r="379" spans="1:30" ht="19.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8"/>
      <c r="AA379" s="17"/>
      <c r="AB379" s="17"/>
      <c r="AC379" s="17"/>
      <c r="AD379" s="17"/>
    </row>
    <row r="380" spans="1:30" ht="19.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8"/>
      <c r="AA380" s="17"/>
      <c r="AB380" s="17"/>
      <c r="AC380" s="17"/>
      <c r="AD380" s="17"/>
    </row>
    <row r="381" spans="1:30" ht="19.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8"/>
      <c r="AA381" s="17"/>
      <c r="AB381" s="17"/>
      <c r="AC381" s="17"/>
      <c r="AD381" s="17"/>
    </row>
    <row r="382" spans="1:30" ht="19.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8"/>
      <c r="AA382" s="17"/>
      <c r="AB382" s="17"/>
      <c r="AC382" s="17"/>
      <c r="AD382" s="17"/>
    </row>
    <row r="383" spans="1:30" ht="19.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8"/>
      <c r="AA383" s="17"/>
      <c r="AB383" s="17"/>
      <c r="AC383" s="17"/>
      <c r="AD383" s="17"/>
    </row>
    <row r="384" spans="1:30" ht="19.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8"/>
      <c r="AA384" s="17"/>
      <c r="AB384" s="17"/>
      <c r="AC384" s="17"/>
      <c r="AD384" s="17"/>
    </row>
    <row r="385" spans="1:30" ht="19.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8"/>
      <c r="AA385" s="17"/>
      <c r="AB385" s="17"/>
      <c r="AC385" s="17"/>
      <c r="AD385" s="17"/>
    </row>
    <row r="386" spans="1:30" ht="19.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8"/>
      <c r="AA386" s="17"/>
      <c r="AB386" s="17"/>
      <c r="AC386" s="17"/>
      <c r="AD386" s="17"/>
    </row>
    <row r="387" spans="1:30" ht="19.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8"/>
      <c r="AA387" s="17"/>
      <c r="AB387" s="17"/>
      <c r="AC387" s="17"/>
      <c r="AD387" s="17"/>
    </row>
    <row r="388" spans="1:30" ht="19.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8"/>
      <c r="AA388" s="17"/>
      <c r="AB388" s="17"/>
      <c r="AC388" s="17"/>
      <c r="AD388" s="17"/>
    </row>
    <row r="389" spans="1:30" ht="19.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8"/>
      <c r="AA389" s="17"/>
      <c r="AB389" s="17"/>
      <c r="AC389" s="17"/>
      <c r="AD389" s="17"/>
    </row>
    <row r="390" spans="1:30" ht="19.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8"/>
      <c r="AA390" s="17"/>
      <c r="AB390" s="17"/>
      <c r="AC390" s="17"/>
      <c r="AD390" s="17"/>
    </row>
    <row r="391" spans="1:30" ht="19.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8"/>
      <c r="AA391" s="17"/>
      <c r="AB391" s="17"/>
      <c r="AC391" s="17"/>
      <c r="AD391" s="17"/>
    </row>
    <row r="392" spans="1:30" ht="19.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8"/>
      <c r="AA392" s="17"/>
      <c r="AB392" s="17"/>
      <c r="AC392" s="17"/>
      <c r="AD392" s="17"/>
    </row>
    <row r="393" spans="1:30" ht="19.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8"/>
      <c r="AA393" s="17"/>
      <c r="AB393" s="17"/>
      <c r="AC393" s="17"/>
      <c r="AD393" s="17"/>
    </row>
    <row r="394" spans="1:30" ht="19.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8"/>
      <c r="AA394" s="17"/>
      <c r="AB394" s="17"/>
      <c r="AC394" s="17"/>
      <c r="AD394" s="17"/>
    </row>
    <row r="395" spans="1:30" ht="19.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8"/>
      <c r="AA395" s="17"/>
      <c r="AB395" s="17"/>
      <c r="AC395" s="17"/>
      <c r="AD395" s="17"/>
    </row>
    <row r="396" spans="1:30" ht="19.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8"/>
      <c r="AA396" s="17"/>
      <c r="AB396" s="17"/>
      <c r="AC396" s="17"/>
      <c r="AD396" s="17"/>
    </row>
    <row r="397" spans="1:30" ht="19.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8"/>
      <c r="AA397" s="17"/>
      <c r="AB397" s="17"/>
      <c r="AC397" s="17"/>
      <c r="AD397" s="17"/>
    </row>
    <row r="398" spans="1:30" ht="19.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8"/>
      <c r="AA398" s="17"/>
      <c r="AB398" s="17"/>
      <c r="AC398" s="17"/>
      <c r="AD398" s="17"/>
    </row>
    <row r="399" spans="1:30" ht="19.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8"/>
      <c r="AA399" s="17"/>
      <c r="AB399" s="17"/>
      <c r="AC399" s="17"/>
      <c r="AD399" s="17"/>
    </row>
    <row r="400" spans="1:30" ht="19.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8"/>
      <c r="AA400" s="17"/>
      <c r="AB400" s="17"/>
      <c r="AC400" s="17"/>
      <c r="AD400" s="17"/>
    </row>
    <row r="401" spans="1:30" ht="19.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8"/>
      <c r="AA401" s="17"/>
      <c r="AB401" s="17"/>
      <c r="AC401" s="17"/>
      <c r="AD401" s="17"/>
    </row>
    <row r="402" spans="1:30" ht="19.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8"/>
      <c r="AA402" s="17"/>
      <c r="AB402" s="17"/>
      <c r="AC402" s="17"/>
      <c r="AD402" s="17"/>
    </row>
    <row r="403" spans="1:30" ht="19.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8"/>
      <c r="AA403" s="17"/>
      <c r="AB403" s="17"/>
      <c r="AC403" s="17"/>
      <c r="AD403" s="17"/>
    </row>
    <row r="404" spans="1:30" ht="19.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8"/>
      <c r="AA404" s="17"/>
      <c r="AB404" s="17"/>
      <c r="AC404" s="17"/>
      <c r="AD404" s="17"/>
    </row>
    <row r="405" spans="1:30" ht="19.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8"/>
      <c r="AA405" s="17"/>
      <c r="AB405" s="17"/>
      <c r="AC405" s="17"/>
      <c r="AD405" s="17"/>
    </row>
    <row r="406" spans="1:30" ht="19.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8"/>
      <c r="AA406" s="17"/>
      <c r="AB406" s="17"/>
      <c r="AC406" s="17"/>
      <c r="AD406" s="17"/>
    </row>
    <row r="407" spans="1:30" ht="19.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8"/>
      <c r="AA407" s="17"/>
      <c r="AB407" s="17"/>
      <c r="AC407" s="17"/>
      <c r="AD407" s="17"/>
    </row>
    <row r="408" spans="1:30" ht="19.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8"/>
      <c r="AA408" s="17"/>
      <c r="AB408" s="17"/>
      <c r="AC408" s="17"/>
      <c r="AD408" s="17"/>
    </row>
    <row r="409" spans="1:30" ht="19.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8"/>
      <c r="AA409" s="17"/>
      <c r="AB409" s="17"/>
      <c r="AC409" s="17"/>
      <c r="AD409" s="17"/>
    </row>
    <row r="410" spans="1:30" ht="19.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8"/>
      <c r="AA410" s="17"/>
      <c r="AB410" s="17"/>
      <c r="AC410" s="17"/>
      <c r="AD410" s="17"/>
    </row>
    <row r="411" spans="1:30" ht="19.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8"/>
      <c r="AA411" s="17"/>
      <c r="AB411" s="17"/>
      <c r="AC411" s="17"/>
      <c r="AD411" s="17"/>
    </row>
    <row r="412" spans="1:30" ht="19.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8"/>
      <c r="AA412" s="17"/>
      <c r="AB412" s="17"/>
      <c r="AC412" s="17"/>
      <c r="AD412" s="17"/>
    </row>
    <row r="413" spans="1:30" ht="19.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8"/>
      <c r="AA413" s="17"/>
      <c r="AB413" s="17"/>
      <c r="AC413" s="17"/>
      <c r="AD413" s="17"/>
    </row>
    <row r="414" spans="1:30" ht="19.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8"/>
      <c r="AA414" s="17"/>
      <c r="AB414" s="17"/>
      <c r="AC414" s="17"/>
      <c r="AD414" s="17"/>
    </row>
    <row r="415" spans="1:30" ht="19.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8"/>
      <c r="AA415" s="17"/>
      <c r="AB415" s="17"/>
      <c r="AC415" s="17"/>
      <c r="AD415" s="17"/>
    </row>
    <row r="416" spans="1:30" ht="19.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8"/>
      <c r="AA416" s="17"/>
      <c r="AB416" s="17"/>
      <c r="AC416" s="17"/>
      <c r="AD416" s="17"/>
    </row>
    <row r="417" spans="1:30" ht="19.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8"/>
      <c r="AA417" s="17"/>
      <c r="AB417" s="17"/>
      <c r="AC417" s="17"/>
      <c r="AD417" s="17"/>
    </row>
    <row r="418" spans="1:30" ht="19.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8"/>
      <c r="AA418" s="17"/>
      <c r="AB418" s="17"/>
      <c r="AC418" s="17"/>
      <c r="AD418" s="17"/>
    </row>
    <row r="419" spans="1:30" ht="19.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8"/>
      <c r="AA419" s="17"/>
      <c r="AB419" s="17"/>
      <c r="AC419" s="17"/>
      <c r="AD419" s="17"/>
    </row>
    <row r="420" spans="1:30" ht="19.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8"/>
      <c r="AA420" s="17"/>
      <c r="AB420" s="17"/>
      <c r="AC420" s="17"/>
      <c r="AD420" s="17"/>
    </row>
    <row r="421" spans="1:30" ht="19.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8"/>
      <c r="AA421" s="17"/>
      <c r="AB421" s="17"/>
      <c r="AC421" s="17"/>
      <c r="AD421" s="17"/>
    </row>
    <row r="422" spans="1:30" ht="19.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8"/>
      <c r="AA422" s="17"/>
      <c r="AB422" s="17"/>
      <c r="AC422" s="17"/>
      <c r="AD422" s="17"/>
    </row>
    <row r="423" spans="1:30" ht="19.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8"/>
      <c r="AA423" s="17"/>
      <c r="AB423" s="17"/>
      <c r="AC423" s="17"/>
      <c r="AD423" s="17"/>
    </row>
    <row r="424" spans="1:30" ht="19.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8"/>
      <c r="AA424" s="17"/>
      <c r="AB424" s="17"/>
      <c r="AC424" s="17"/>
      <c r="AD424" s="17"/>
    </row>
    <row r="425" spans="1:30" ht="19.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8"/>
      <c r="AA425" s="17"/>
      <c r="AB425" s="17"/>
      <c r="AC425" s="17"/>
      <c r="AD425" s="17"/>
    </row>
    <row r="426" spans="1:30" ht="19.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8"/>
      <c r="AA426" s="17"/>
      <c r="AB426" s="17"/>
      <c r="AC426" s="17"/>
      <c r="AD426" s="17"/>
    </row>
    <row r="427" spans="1:30" ht="19.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8"/>
      <c r="AA427" s="17"/>
      <c r="AB427" s="17"/>
      <c r="AC427" s="17"/>
      <c r="AD427" s="17"/>
    </row>
    <row r="428" spans="1:30" ht="19.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8"/>
      <c r="AA428" s="17"/>
      <c r="AB428" s="17"/>
      <c r="AC428" s="17"/>
      <c r="AD428" s="17"/>
    </row>
    <row r="429" spans="1:30" ht="19.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8"/>
      <c r="AA429" s="17"/>
      <c r="AB429" s="17"/>
      <c r="AC429" s="17"/>
      <c r="AD429" s="17"/>
    </row>
    <row r="430" spans="1:30" ht="19.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8"/>
      <c r="AA430" s="17"/>
      <c r="AB430" s="17"/>
      <c r="AC430" s="17"/>
      <c r="AD430" s="17"/>
    </row>
    <row r="431" spans="1:30" ht="19.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8"/>
      <c r="AA431" s="17"/>
      <c r="AB431" s="17"/>
      <c r="AC431" s="17"/>
      <c r="AD431" s="17"/>
    </row>
    <row r="432" spans="1:30" ht="19.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8"/>
      <c r="AA432" s="17"/>
      <c r="AB432" s="17"/>
      <c r="AC432" s="17"/>
      <c r="AD432" s="17"/>
    </row>
    <row r="433" spans="1:30" ht="19.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8"/>
      <c r="AA433" s="17"/>
      <c r="AB433" s="17"/>
      <c r="AC433" s="17"/>
      <c r="AD433" s="17"/>
    </row>
    <row r="434" spans="1:30" ht="19.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8"/>
      <c r="AA434" s="17"/>
      <c r="AB434" s="17"/>
      <c r="AC434" s="17"/>
      <c r="AD434" s="17"/>
    </row>
    <row r="435" spans="1:30" ht="19.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8"/>
      <c r="AA435" s="17"/>
      <c r="AB435" s="17"/>
      <c r="AC435" s="17"/>
      <c r="AD435" s="17"/>
    </row>
    <row r="436" spans="1:30" ht="19.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8"/>
      <c r="AA436" s="17"/>
      <c r="AB436" s="17"/>
      <c r="AC436" s="17"/>
      <c r="AD436" s="17"/>
    </row>
    <row r="437" spans="1:30" ht="19.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8"/>
      <c r="AA437" s="17"/>
      <c r="AB437" s="17"/>
      <c r="AC437" s="17"/>
      <c r="AD437" s="17"/>
    </row>
    <row r="438" spans="1:30" ht="19.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8"/>
      <c r="AA438" s="17"/>
      <c r="AB438" s="17"/>
      <c r="AC438" s="17"/>
      <c r="AD438" s="17"/>
    </row>
    <row r="439" spans="1:30" ht="19.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8"/>
      <c r="AA439" s="17"/>
      <c r="AB439" s="17"/>
      <c r="AC439" s="17"/>
      <c r="AD439" s="17"/>
    </row>
    <row r="440" spans="1:30" ht="19.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8"/>
      <c r="AA440" s="17"/>
      <c r="AB440" s="17"/>
      <c r="AC440" s="17"/>
      <c r="AD440" s="17"/>
    </row>
    <row r="441" spans="1:30" ht="19.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8"/>
      <c r="AA441" s="17"/>
      <c r="AB441" s="17"/>
      <c r="AC441" s="17"/>
      <c r="AD441" s="17"/>
    </row>
    <row r="442" spans="1:30" ht="19.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8"/>
      <c r="AA442" s="17"/>
      <c r="AB442" s="17"/>
      <c r="AC442" s="17"/>
      <c r="AD442" s="17"/>
    </row>
    <row r="443" spans="1:30" ht="19.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8"/>
      <c r="AA443" s="17"/>
      <c r="AB443" s="17"/>
      <c r="AC443" s="17"/>
      <c r="AD443" s="17"/>
    </row>
    <row r="444" spans="1:30" ht="19.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8"/>
      <c r="AA444" s="17"/>
      <c r="AB444" s="17"/>
      <c r="AC444" s="17"/>
      <c r="AD444" s="17"/>
    </row>
    <row r="445" spans="1:30" ht="19.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8"/>
      <c r="AA445" s="17"/>
      <c r="AB445" s="17"/>
      <c r="AC445" s="17"/>
      <c r="AD445" s="17"/>
    </row>
    <row r="446" spans="1:30" ht="19.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8"/>
      <c r="AA446" s="17"/>
      <c r="AB446" s="17"/>
      <c r="AC446" s="17"/>
      <c r="AD446" s="17"/>
    </row>
    <row r="447" spans="1:30" ht="19.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8"/>
      <c r="AA447" s="17"/>
      <c r="AB447" s="17"/>
      <c r="AC447" s="17"/>
      <c r="AD447" s="17"/>
    </row>
    <row r="448" spans="1:30" ht="19.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8"/>
      <c r="AA448" s="17"/>
      <c r="AB448" s="17"/>
      <c r="AC448" s="17"/>
      <c r="AD448" s="17"/>
    </row>
    <row r="449" spans="1:30" ht="19.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8"/>
      <c r="AA449" s="17"/>
      <c r="AB449" s="17"/>
      <c r="AC449" s="17"/>
      <c r="AD449" s="17"/>
    </row>
    <row r="450" spans="1:30" ht="19.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8"/>
      <c r="AA450" s="17"/>
      <c r="AB450" s="17"/>
      <c r="AC450" s="17"/>
      <c r="AD450" s="17"/>
    </row>
    <row r="451" spans="1:30" ht="19.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8"/>
      <c r="AA451" s="17"/>
      <c r="AB451" s="17"/>
      <c r="AC451" s="17"/>
      <c r="AD451" s="17"/>
    </row>
    <row r="452" spans="1:30" ht="19.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8"/>
      <c r="AA452" s="17"/>
      <c r="AB452" s="17"/>
      <c r="AC452" s="17"/>
      <c r="AD452" s="17"/>
    </row>
    <row r="453" spans="1:30" ht="19.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8"/>
      <c r="AA453" s="17"/>
      <c r="AB453" s="17"/>
      <c r="AC453" s="17"/>
      <c r="AD453" s="17"/>
    </row>
    <row r="454" spans="1:30" ht="19.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8"/>
      <c r="AA454" s="17"/>
      <c r="AB454" s="17"/>
      <c r="AC454" s="17"/>
      <c r="AD454" s="17"/>
    </row>
    <row r="455" spans="1:30" ht="19.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8"/>
      <c r="AA455" s="17"/>
      <c r="AB455" s="17"/>
      <c r="AC455" s="17"/>
      <c r="AD455" s="17"/>
    </row>
    <row r="456" spans="1:30" ht="19.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8"/>
      <c r="AA456" s="17"/>
      <c r="AB456" s="17"/>
      <c r="AC456" s="17"/>
      <c r="AD456" s="17"/>
    </row>
    <row r="457" spans="1:30" ht="19.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8"/>
      <c r="AA457" s="17"/>
      <c r="AB457" s="17"/>
      <c r="AC457" s="17"/>
      <c r="AD457" s="17"/>
    </row>
    <row r="458" spans="1:30" ht="19.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8"/>
      <c r="AA458" s="17"/>
      <c r="AB458" s="17"/>
      <c r="AC458" s="17"/>
      <c r="AD458" s="17"/>
    </row>
    <row r="459" spans="1:30" ht="19.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8"/>
      <c r="AA459" s="17"/>
      <c r="AB459" s="17"/>
      <c r="AC459" s="17"/>
      <c r="AD459" s="17"/>
    </row>
    <row r="460" spans="1:30" ht="19.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8"/>
      <c r="AA460" s="17"/>
      <c r="AB460" s="17"/>
      <c r="AC460" s="17"/>
      <c r="AD460" s="17"/>
    </row>
    <row r="461" spans="1:30" ht="19.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8"/>
      <c r="AA461" s="17"/>
      <c r="AB461" s="17"/>
      <c r="AC461" s="17"/>
      <c r="AD461" s="17"/>
    </row>
    <row r="462" spans="1:30" ht="19.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8"/>
      <c r="AA462" s="17"/>
      <c r="AB462" s="17"/>
      <c r="AC462" s="17"/>
      <c r="AD462" s="17"/>
    </row>
    <row r="463" spans="1:30" ht="19.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8"/>
      <c r="AA463" s="17"/>
      <c r="AB463" s="17"/>
      <c r="AC463" s="17"/>
      <c r="AD463" s="17"/>
    </row>
    <row r="464" spans="1:30" ht="19.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8"/>
      <c r="AA464" s="17"/>
      <c r="AB464" s="17"/>
      <c r="AC464" s="17"/>
      <c r="AD464" s="17"/>
    </row>
    <row r="465" spans="1:30" ht="19.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8"/>
      <c r="AA465" s="17"/>
      <c r="AB465" s="17"/>
      <c r="AC465" s="17"/>
      <c r="AD465" s="17"/>
    </row>
    <row r="466" spans="1:30" ht="19.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8"/>
      <c r="AA466" s="17"/>
      <c r="AB466" s="17"/>
      <c r="AC466" s="17"/>
      <c r="AD466" s="17"/>
    </row>
    <row r="467" spans="1:30" ht="19.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8"/>
      <c r="AA467" s="17"/>
      <c r="AB467" s="17"/>
      <c r="AC467" s="17"/>
      <c r="AD467" s="17"/>
    </row>
    <row r="468" spans="1:30" ht="19.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8"/>
      <c r="AA468" s="17"/>
      <c r="AB468" s="17"/>
      <c r="AC468" s="17"/>
      <c r="AD468" s="17"/>
    </row>
    <row r="469" spans="1:30" ht="19.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8"/>
      <c r="AA469" s="17"/>
      <c r="AB469" s="17"/>
      <c r="AC469" s="17"/>
      <c r="AD469" s="17"/>
    </row>
    <row r="470" spans="1:30" ht="19.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8"/>
      <c r="AA470" s="17"/>
      <c r="AB470" s="17"/>
      <c r="AC470" s="17"/>
      <c r="AD470" s="17"/>
    </row>
    <row r="471" spans="1:30" ht="19.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8"/>
      <c r="AA471" s="17"/>
      <c r="AB471" s="17"/>
      <c r="AC471" s="17"/>
      <c r="AD471" s="17"/>
    </row>
    <row r="472" spans="1:30" ht="19.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8"/>
      <c r="AA472" s="17"/>
      <c r="AB472" s="17"/>
      <c r="AC472" s="17"/>
      <c r="AD472" s="17"/>
    </row>
    <row r="473" spans="1:30" ht="19.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8"/>
      <c r="AA473" s="17"/>
      <c r="AB473" s="17"/>
      <c r="AC473" s="17"/>
      <c r="AD473" s="17"/>
    </row>
    <row r="474" spans="1:30" ht="19.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8"/>
      <c r="AA474" s="17"/>
      <c r="AB474" s="17"/>
      <c r="AC474" s="17"/>
      <c r="AD474" s="17"/>
    </row>
    <row r="475" spans="1:30" ht="19.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8"/>
      <c r="AA475" s="17"/>
      <c r="AB475" s="17"/>
      <c r="AC475" s="17"/>
      <c r="AD475" s="17"/>
    </row>
    <row r="476" spans="1:30" ht="19.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8"/>
      <c r="AA476" s="17"/>
      <c r="AB476" s="17"/>
      <c r="AC476" s="17"/>
      <c r="AD476" s="17"/>
    </row>
    <row r="477" spans="1:30" ht="19.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8"/>
      <c r="AA477" s="17"/>
      <c r="AB477" s="17"/>
      <c r="AC477" s="17"/>
      <c r="AD477" s="17"/>
    </row>
    <row r="478" spans="1:30" ht="19.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8"/>
      <c r="AA478" s="17"/>
      <c r="AB478" s="17"/>
      <c r="AC478" s="17"/>
      <c r="AD478" s="17"/>
    </row>
    <row r="479" spans="1:30" ht="19.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8"/>
      <c r="AA479" s="17"/>
      <c r="AB479" s="17"/>
      <c r="AC479" s="17"/>
      <c r="AD479" s="17"/>
    </row>
    <row r="480" spans="1:30" ht="19.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8"/>
      <c r="AA480" s="17"/>
      <c r="AB480" s="17"/>
      <c r="AC480" s="17"/>
      <c r="AD480" s="17"/>
    </row>
    <row r="481" spans="1:30" ht="19.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8"/>
      <c r="AA481" s="17"/>
      <c r="AB481" s="17"/>
      <c r="AC481" s="17"/>
      <c r="AD481" s="17"/>
    </row>
    <row r="482" spans="1:30" ht="19.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8"/>
      <c r="AA482" s="17"/>
      <c r="AB482" s="17"/>
      <c r="AC482" s="17"/>
      <c r="AD482" s="17"/>
    </row>
    <row r="483" spans="1:30" ht="19.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8"/>
      <c r="AA483" s="17"/>
      <c r="AB483" s="17"/>
      <c r="AC483" s="17"/>
      <c r="AD483" s="17"/>
    </row>
    <row r="484" spans="1:30" ht="19.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8"/>
      <c r="AA484" s="17"/>
      <c r="AB484" s="17"/>
      <c r="AC484" s="17"/>
      <c r="AD484" s="17"/>
    </row>
    <row r="485" spans="1:30" ht="19.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8"/>
      <c r="AA485" s="17"/>
      <c r="AB485" s="17"/>
      <c r="AC485" s="17"/>
      <c r="AD485" s="17"/>
    </row>
    <row r="486" spans="1:30" ht="19.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8"/>
      <c r="AA486" s="17"/>
      <c r="AB486" s="17"/>
      <c r="AC486" s="17"/>
      <c r="AD486" s="17"/>
    </row>
    <row r="487" spans="1:30" ht="19.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8"/>
      <c r="AA487" s="17"/>
      <c r="AB487" s="17"/>
      <c r="AC487" s="17"/>
      <c r="AD487" s="17"/>
    </row>
    <row r="488" spans="1:30" ht="19.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8"/>
      <c r="AA488" s="17"/>
      <c r="AB488" s="17"/>
      <c r="AC488" s="17"/>
      <c r="AD488" s="17"/>
    </row>
    <row r="489" spans="1:30" ht="19.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8"/>
      <c r="AA489" s="17"/>
      <c r="AB489" s="17"/>
      <c r="AC489" s="17"/>
      <c r="AD489" s="17"/>
    </row>
    <row r="490" spans="1:30" ht="19.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8"/>
      <c r="AA490" s="17"/>
      <c r="AB490" s="17"/>
      <c r="AC490" s="17"/>
      <c r="AD490" s="17"/>
    </row>
    <row r="491" spans="1:30" ht="19.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8"/>
      <c r="AA491" s="17"/>
      <c r="AB491" s="17"/>
      <c r="AC491" s="17"/>
      <c r="AD491" s="17"/>
    </row>
    <row r="492" spans="1:30" ht="19.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8"/>
      <c r="AA492" s="17"/>
      <c r="AB492" s="17"/>
      <c r="AC492" s="17"/>
      <c r="AD492" s="17"/>
    </row>
    <row r="493" spans="1:30" ht="19.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8"/>
      <c r="AA493" s="17"/>
      <c r="AB493" s="17"/>
      <c r="AC493" s="17"/>
      <c r="AD493" s="17"/>
    </row>
    <row r="494" spans="1:30" ht="19.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8"/>
      <c r="AA494" s="17"/>
      <c r="AB494" s="17"/>
      <c r="AC494" s="17"/>
      <c r="AD494" s="17"/>
    </row>
    <row r="495" spans="1:30" ht="19.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8"/>
      <c r="AA495" s="17"/>
      <c r="AB495" s="17"/>
      <c r="AC495" s="17"/>
      <c r="AD495" s="17"/>
    </row>
    <row r="496" spans="1:30" ht="19.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8"/>
      <c r="AA496" s="17"/>
      <c r="AB496" s="17"/>
      <c r="AC496" s="17"/>
      <c r="AD496" s="17"/>
    </row>
    <row r="497" spans="1:30" ht="19.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8"/>
      <c r="AA497" s="17"/>
      <c r="AB497" s="17"/>
      <c r="AC497" s="17"/>
      <c r="AD497" s="17"/>
    </row>
    <row r="498" spans="1:30" ht="19.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8"/>
      <c r="AA498" s="17"/>
      <c r="AB498" s="17"/>
      <c r="AC498" s="17"/>
      <c r="AD498" s="17"/>
    </row>
    <row r="499" spans="1:30" ht="19.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8"/>
      <c r="AA499" s="17"/>
      <c r="AB499" s="17"/>
      <c r="AC499" s="17"/>
      <c r="AD499" s="17"/>
    </row>
    <row r="500" spans="1:30" ht="19.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8"/>
      <c r="AA500" s="17"/>
      <c r="AB500" s="17"/>
      <c r="AC500" s="17"/>
      <c r="AD500" s="17"/>
    </row>
    <row r="501" spans="1:30" ht="19.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8"/>
      <c r="AA501" s="17"/>
      <c r="AB501" s="17"/>
      <c r="AC501" s="17"/>
      <c r="AD501" s="17"/>
    </row>
    <row r="502" spans="1:30" ht="19.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8"/>
      <c r="AA502" s="17"/>
      <c r="AB502" s="17"/>
      <c r="AC502" s="17"/>
      <c r="AD502" s="17"/>
    </row>
    <row r="503" spans="1:30" ht="19.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8"/>
      <c r="AA503" s="17"/>
      <c r="AB503" s="17"/>
      <c r="AC503" s="17"/>
      <c r="AD503" s="17"/>
    </row>
    <row r="504" spans="1:30" ht="19.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8"/>
      <c r="AA504" s="17"/>
      <c r="AB504" s="17"/>
      <c r="AC504" s="17"/>
      <c r="AD504" s="17"/>
    </row>
    <row r="505" spans="1:30" ht="19.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8"/>
      <c r="AA505" s="17"/>
      <c r="AB505" s="17"/>
      <c r="AC505" s="17"/>
      <c r="AD505" s="17"/>
    </row>
    <row r="506" spans="1:30" ht="19.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8"/>
      <c r="AA506" s="17"/>
      <c r="AB506" s="17"/>
      <c r="AC506" s="17"/>
      <c r="AD506" s="17"/>
    </row>
    <row r="507" spans="1:30" ht="19.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8"/>
      <c r="AA507" s="17"/>
      <c r="AB507" s="17"/>
      <c r="AC507" s="17"/>
      <c r="AD507" s="17"/>
    </row>
    <row r="508" spans="1:30" ht="19.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8"/>
      <c r="AA508" s="17"/>
      <c r="AB508" s="17"/>
      <c r="AC508" s="17"/>
      <c r="AD508" s="17"/>
    </row>
    <row r="509" spans="1:30" ht="19.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8"/>
      <c r="AA509" s="17"/>
      <c r="AB509" s="17"/>
      <c r="AC509" s="17"/>
      <c r="AD509" s="17"/>
    </row>
    <row r="510" spans="1:30" ht="19.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8"/>
      <c r="AA510" s="17"/>
      <c r="AB510" s="17"/>
      <c r="AC510" s="17"/>
      <c r="AD510" s="17"/>
    </row>
    <row r="511" spans="1:30" ht="19.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8"/>
      <c r="AA511" s="17"/>
      <c r="AB511" s="17"/>
      <c r="AC511" s="17"/>
      <c r="AD511" s="17"/>
    </row>
    <row r="512" spans="1:30" ht="19.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8"/>
      <c r="AA512" s="17"/>
      <c r="AB512" s="17"/>
      <c r="AC512" s="17"/>
      <c r="AD512" s="17"/>
    </row>
    <row r="513" spans="1:30" ht="19.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8"/>
      <c r="AA513" s="17"/>
      <c r="AB513" s="17"/>
      <c r="AC513" s="17"/>
      <c r="AD513" s="17"/>
    </row>
    <row r="514" spans="1:30" ht="19.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8"/>
      <c r="AA514" s="17"/>
      <c r="AB514" s="17"/>
      <c r="AC514" s="17"/>
      <c r="AD514" s="17"/>
    </row>
    <row r="515" spans="1:30" ht="19.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8"/>
      <c r="AA515" s="17"/>
      <c r="AB515" s="17"/>
      <c r="AC515" s="17"/>
      <c r="AD515" s="17"/>
    </row>
    <row r="516" spans="1:30" ht="19.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8"/>
      <c r="AA516" s="17"/>
      <c r="AB516" s="17"/>
      <c r="AC516" s="17"/>
      <c r="AD516" s="17"/>
    </row>
    <row r="517" spans="1:30" ht="19.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8"/>
      <c r="AA517" s="17"/>
      <c r="AB517" s="17"/>
      <c r="AC517" s="17"/>
      <c r="AD517" s="17"/>
    </row>
    <row r="518" spans="1:30" ht="19.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8"/>
      <c r="AA518" s="17"/>
      <c r="AB518" s="17"/>
      <c r="AC518" s="17"/>
      <c r="AD518" s="17"/>
    </row>
    <row r="519" spans="1:30" ht="19.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8"/>
      <c r="AA519" s="17"/>
      <c r="AB519" s="17"/>
      <c r="AC519" s="17"/>
      <c r="AD519" s="17"/>
    </row>
    <row r="520" spans="1:30" ht="19.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8"/>
      <c r="AA520" s="17"/>
      <c r="AB520" s="17"/>
      <c r="AC520" s="17"/>
      <c r="AD520" s="17"/>
    </row>
    <row r="521" spans="1:30" ht="19.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8"/>
      <c r="AA521" s="17"/>
      <c r="AB521" s="17"/>
      <c r="AC521" s="17"/>
      <c r="AD521" s="17"/>
    </row>
    <row r="522" spans="1:30" ht="19.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8"/>
      <c r="AA522" s="17"/>
      <c r="AB522" s="17"/>
      <c r="AC522" s="17"/>
      <c r="AD522" s="17"/>
    </row>
    <row r="523" spans="1:30" ht="19.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8"/>
      <c r="AA523" s="17"/>
      <c r="AB523" s="17"/>
      <c r="AC523" s="17"/>
      <c r="AD523" s="17"/>
    </row>
    <row r="524" spans="1:30" ht="19.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8"/>
      <c r="AA524" s="17"/>
      <c r="AB524" s="17"/>
      <c r="AC524" s="17"/>
      <c r="AD524" s="17"/>
    </row>
    <row r="525" spans="1:30" ht="19.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8"/>
      <c r="AA525" s="17"/>
      <c r="AB525" s="17"/>
      <c r="AC525" s="17"/>
      <c r="AD525" s="17"/>
    </row>
    <row r="526" spans="1:30" ht="19.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8"/>
      <c r="AA526" s="17"/>
      <c r="AB526" s="17"/>
      <c r="AC526" s="17"/>
      <c r="AD526" s="17"/>
    </row>
    <row r="527" spans="1:30" ht="19.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8"/>
      <c r="AA527" s="17"/>
      <c r="AB527" s="17"/>
      <c r="AC527" s="17"/>
      <c r="AD527" s="17"/>
    </row>
    <row r="528" spans="1:30" ht="19.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8"/>
      <c r="AA528" s="17"/>
      <c r="AB528" s="17"/>
      <c r="AC528" s="17"/>
      <c r="AD528" s="17"/>
    </row>
    <row r="529" spans="1:30" ht="19.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8"/>
      <c r="AA529" s="17"/>
      <c r="AB529" s="17"/>
      <c r="AC529" s="17"/>
      <c r="AD529" s="17"/>
    </row>
    <row r="530" spans="1:30" ht="19.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8"/>
      <c r="AA530" s="17"/>
      <c r="AB530" s="17"/>
      <c r="AC530" s="17"/>
      <c r="AD530" s="17"/>
    </row>
    <row r="531" spans="1:30" ht="19.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8"/>
      <c r="AA531" s="17"/>
      <c r="AB531" s="17"/>
      <c r="AC531" s="17"/>
      <c r="AD531" s="17"/>
    </row>
    <row r="532" spans="1:30" ht="19.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8"/>
      <c r="AA532" s="17"/>
      <c r="AB532" s="17"/>
      <c r="AC532" s="17"/>
      <c r="AD532" s="17"/>
    </row>
    <row r="533" spans="1:30" ht="19.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8"/>
      <c r="AA533" s="17"/>
      <c r="AB533" s="17"/>
      <c r="AC533" s="17"/>
      <c r="AD533" s="17"/>
    </row>
    <row r="534" spans="1:30" ht="19.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8"/>
      <c r="AA534" s="17"/>
      <c r="AB534" s="17"/>
      <c r="AC534" s="17"/>
      <c r="AD534" s="17"/>
    </row>
    <row r="535" spans="1:30" ht="19.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8"/>
      <c r="AA535" s="17"/>
      <c r="AB535" s="17"/>
      <c r="AC535" s="17"/>
      <c r="AD535" s="17"/>
    </row>
    <row r="536" spans="1:30" ht="19.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8"/>
      <c r="AA536" s="17"/>
      <c r="AB536" s="17"/>
      <c r="AC536" s="17"/>
      <c r="AD536" s="17"/>
    </row>
    <row r="537" spans="1:30" ht="19.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8"/>
      <c r="AA537" s="17"/>
      <c r="AB537" s="17"/>
      <c r="AC537" s="17"/>
      <c r="AD537" s="17"/>
    </row>
    <row r="538" spans="1:30" ht="19.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8"/>
      <c r="AA538" s="17"/>
      <c r="AB538" s="17"/>
      <c r="AC538" s="17"/>
      <c r="AD538" s="17"/>
    </row>
    <row r="539" spans="1:30" ht="19.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8"/>
      <c r="AA539" s="17"/>
      <c r="AB539" s="17"/>
      <c r="AC539" s="17"/>
      <c r="AD539" s="17"/>
    </row>
    <row r="540" spans="1:30" ht="19.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8"/>
      <c r="AA540" s="17"/>
      <c r="AB540" s="17"/>
      <c r="AC540" s="17"/>
      <c r="AD540" s="17"/>
    </row>
    <row r="541" spans="1:30" ht="19.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8"/>
      <c r="AA541" s="17"/>
      <c r="AB541" s="17"/>
      <c r="AC541" s="17"/>
      <c r="AD541" s="17"/>
    </row>
    <row r="542" spans="1:30" ht="19.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8"/>
      <c r="AA542" s="17"/>
      <c r="AB542" s="17"/>
      <c r="AC542" s="17"/>
      <c r="AD542" s="17"/>
    </row>
    <row r="543" spans="1:30" ht="19.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8"/>
      <c r="AA543" s="17"/>
      <c r="AB543" s="17"/>
      <c r="AC543" s="17"/>
      <c r="AD543" s="17"/>
    </row>
    <row r="544" spans="1:30" ht="19.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8"/>
      <c r="AA544" s="17"/>
      <c r="AB544" s="17"/>
      <c r="AC544" s="17"/>
      <c r="AD544" s="17"/>
    </row>
    <row r="545" spans="1:30" ht="19.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8"/>
      <c r="AA545" s="17"/>
      <c r="AB545" s="17"/>
      <c r="AC545" s="17"/>
      <c r="AD545" s="17"/>
    </row>
    <row r="546" spans="1:30" ht="19.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8"/>
      <c r="AA546" s="17"/>
      <c r="AB546" s="17"/>
      <c r="AC546" s="17"/>
      <c r="AD546" s="17"/>
    </row>
    <row r="547" spans="1:30" ht="19.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8"/>
      <c r="AA547" s="17"/>
      <c r="AB547" s="17"/>
      <c r="AC547" s="17"/>
      <c r="AD547" s="17"/>
    </row>
    <row r="548" spans="1:30" ht="19.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8"/>
      <c r="AA548" s="17"/>
      <c r="AB548" s="17"/>
      <c r="AC548" s="17"/>
      <c r="AD548" s="17"/>
    </row>
    <row r="549" spans="1:30" ht="19.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8"/>
      <c r="AA549" s="17"/>
      <c r="AB549" s="17"/>
      <c r="AC549" s="17"/>
      <c r="AD549" s="17"/>
    </row>
    <row r="550" spans="1:30" ht="19.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8"/>
      <c r="AA550" s="17"/>
      <c r="AB550" s="17"/>
      <c r="AC550" s="17"/>
      <c r="AD550" s="17"/>
    </row>
    <row r="551" spans="1:30" ht="19.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8"/>
      <c r="AA551" s="17"/>
      <c r="AB551" s="17"/>
      <c r="AC551" s="17"/>
      <c r="AD551" s="17"/>
    </row>
    <row r="552" spans="1:30" ht="19.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8"/>
      <c r="AA552" s="17"/>
      <c r="AB552" s="17"/>
      <c r="AC552" s="17"/>
      <c r="AD552" s="17"/>
    </row>
    <row r="553" spans="1:30" ht="19.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8"/>
      <c r="AA553" s="17"/>
      <c r="AB553" s="17"/>
      <c r="AC553" s="17"/>
      <c r="AD553" s="17"/>
    </row>
    <row r="554" spans="1:30" ht="19.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8"/>
      <c r="AA554" s="17"/>
      <c r="AB554" s="17"/>
      <c r="AC554" s="17"/>
      <c r="AD554" s="17"/>
    </row>
    <row r="555" spans="1:30" ht="19.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8"/>
      <c r="AA555" s="17"/>
      <c r="AB555" s="17"/>
      <c r="AC555" s="17"/>
      <c r="AD555" s="17"/>
    </row>
    <row r="556" spans="1:30" ht="19.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8"/>
      <c r="AA556" s="17"/>
      <c r="AB556" s="17"/>
      <c r="AC556" s="17"/>
      <c r="AD556" s="17"/>
    </row>
    <row r="557" spans="1:30" ht="19.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8"/>
      <c r="AA557" s="17"/>
      <c r="AB557" s="17"/>
      <c r="AC557" s="17"/>
      <c r="AD557" s="17"/>
    </row>
    <row r="558" spans="1:30" ht="19.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8"/>
      <c r="AA558" s="17"/>
      <c r="AB558" s="17"/>
      <c r="AC558" s="17"/>
      <c r="AD558" s="17"/>
    </row>
    <row r="559" spans="1:30" ht="19.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8"/>
      <c r="AA559" s="17"/>
      <c r="AB559" s="17"/>
      <c r="AC559" s="17"/>
      <c r="AD559" s="17"/>
    </row>
    <row r="560" spans="1:30" ht="19.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8"/>
      <c r="AA560" s="17"/>
      <c r="AB560" s="17"/>
      <c r="AC560" s="17"/>
      <c r="AD560" s="17"/>
    </row>
    <row r="561" spans="1:30" ht="19.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8"/>
      <c r="AA561" s="17"/>
      <c r="AB561" s="17"/>
      <c r="AC561" s="17"/>
      <c r="AD561" s="17"/>
    </row>
    <row r="562" spans="1:30" ht="19.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8"/>
      <c r="AA562" s="17"/>
      <c r="AB562" s="17"/>
      <c r="AC562" s="17"/>
      <c r="AD562" s="17"/>
    </row>
    <row r="563" spans="1:30" ht="19.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8"/>
      <c r="AA563" s="17"/>
      <c r="AB563" s="17"/>
      <c r="AC563" s="17"/>
      <c r="AD563" s="17"/>
    </row>
    <row r="564" spans="1:30" ht="19.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8"/>
      <c r="AA564" s="17"/>
      <c r="AB564" s="17"/>
      <c r="AC564" s="17"/>
      <c r="AD564" s="17"/>
    </row>
    <row r="565" spans="1:30" ht="19.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8"/>
      <c r="AA565" s="17"/>
      <c r="AB565" s="17"/>
      <c r="AC565" s="17"/>
      <c r="AD565" s="17"/>
    </row>
    <row r="566" spans="1:30" ht="19.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8"/>
      <c r="AA566" s="17"/>
      <c r="AB566" s="17"/>
      <c r="AC566" s="17"/>
      <c r="AD566" s="17"/>
    </row>
    <row r="567" spans="1:30" ht="19.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8"/>
      <c r="AA567" s="17"/>
      <c r="AB567" s="17"/>
      <c r="AC567" s="17"/>
      <c r="AD567" s="17"/>
    </row>
    <row r="568" spans="1:30" ht="19.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8"/>
      <c r="AA568" s="17"/>
      <c r="AB568" s="17"/>
      <c r="AC568" s="17"/>
      <c r="AD568" s="17"/>
    </row>
    <row r="569" spans="1:30" ht="19.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8"/>
      <c r="AA569" s="17"/>
      <c r="AB569" s="17"/>
      <c r="AC569" s="17"/>
      <c r="AD569" s="17"/>
    </row>
    <row r="570" spans="1:30" ht="19.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8"/>
      <c r="AA570" s="17"/>
      <c r="AB570" s="17"/>
      <c r="AC570" s="17"/>
      <c r="AD570" s="17"/>
    </row>
    <row r="571" spans="1:30" ht="19.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8"/>
      <c r="AA571" s="17"/>
      <c r="AB571" s="17"/>
      <c r="AC571" s="17"/>
      <c r="AD571" s="17"/>
    </row>
    <row r="572" spans="1:30" ht="19.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8"/>
      <c r="AA572" s="17"/>
      <c r="AB572" s="17"/>
      <c r="AC572" s="17"/>
      <c r="AD572" s="17"/>
    </row>
    <row r="573" spans="1:30" ht="19.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8"/>
      <c r="AA573" s="17"/>
      <c r="AB573" s="17"/>
      <c r="AC573" s="17"/>
      <c r="AD573" s="17"/>
    </row>
    <row r="574" spans="1:30" ht="19.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8"/>
      <c r="AA574" s="17"/>
      <c r="AB574" s="17"/>
      <c r="AC574" s="17"/>
      <c r="AD574" s="17"/>
    </row>
    <row r="575" spans="1:30" ht="19.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8"/>
      <c r="AA575" s="17"/>
      <c r="AB575" s="17"/>
      <c r="AC575" s="17"/>
      <c r="AD575" s="17"/>
    </row>
    <row r="576" spans="1:30" ht="19.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8"/>
      <c r="AA576" s="17"/>
      <c r="AB576" s="17"/>
      <c r="AC576" s="17"/>
      <c r="AD576" s="17"/>
    </row>
    <row r="577" spans="1:30" ht="19.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8"/>
      <c r="AA577" s="17"/>
      <c r="AB577" s="17"/>
      <c r="AC577" s="17"/>
      <c r="AD577" s="17"/>
    </row>
    <row r="578" spans="1:30" ht="19.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8"/>
      <c r="AA578" s="17"/>
      <c r="AB578" s="17"/>
      <c r="AC578" s="17"/>
      <c r="AD578" s="17"/>
    </row>
    <row r="579" spans="1:30" ht="19.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8"/>
      <c r="AA579" s="17"/>
      <c r="AB579" s="17"/>
      <c r="AC579" s="17"/>
      <c r="AD579" s="17"/>
    </row>
    <row r="580" spans="1:30" ht="19.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8"/>
      <c r="AA580" s="17"/>
      <c r="AB580" s="17"/>
      <c r="AC580" s="17"/>
      <c r="AD580" s="17"/>
    </row>
    <row r="581" spans="1:30" ht="19.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8"/>
      <c r="AA581" s="17"/>
      <c r="AB581" s="17"/>
      <c r="AC581" s="17"/>
      <c r="AD581" s="17"/>
    </row>
    <row r="582" spans="1:30" ht="19.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8"/>
      <c r="AA582" s="17"/>
      <c r="AB582" s="17"/>
      <c r="AC582" s="17"/>
      <c r="AD582" s="17"/>
    </row>
    <row r="583" spans="1:30" ht="19.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8"/>
      <c r="AA583" s="17"/>
      <c r="AB583" s="17"/>
      <c r="AC583" s="17"/>
      <c r="AD583" s="17"/>
    </row>
    <row r="584" spans="1:30" ht="19.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8"/>
      <c r="AA584" s="17"/>
      <c r="AB584" s="17"/>
      <c r="AC584" s="17"/>
      <c r="AD584" s="17"/>
    </row>
    <row r="585" spans="1:30" ht="19.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8"/>
      <c r="AA585" s="17"/>
      <c r="AB585" s="17"/>
      <c r="AC585" s="17"/>
      <c r="AD585" s="17"/>
    </row>
    <row r="586" spans="1:30" ht="19.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8"/>
      <c r="AA586" s="17"/>
      <c r="AB586" s="17"/>
      <c r="AC586" s="17"/>
      <c r="AD586" s="17"/>
    </row>
    <row r="587" spans="1:30" ht="19.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8"/>
      <c r="AA587" s="17"/>
      <c r="AB587" s="17"/>
      <c r="AC587" s="17"/>
      <c r="AD587" s="17"/>
    </row>
    <row r="588" spans="1:30" ht="19.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8"/>
      <c r="AA588" s="17"/>
      <c r="AB588" s="17"/>
      <c r="AC588" s="17"/>
      <c r="AD588" s="17"/>
    </row>
    <row r="589" spans="1:30" ht="19.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8"/>
      <c r="AA589" s="17"/>
      <c r="AB589" s="17"/>
      <c r="AC589" s="17"/>
      <c r="AD589" s="17"/>
    </row>
    <row r="590" spans="1:30" ht="19.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8"/>
      <c r="AA590" s="17"/>
      <c r="AB590" s="17"/>
      <c r="AC590" s="17"/>
      <c r="AD590" s="17"/>
    </row>
    <row r="591" spans="1:30" ht="19.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8"/>
      <c r="AA591" s="17"/>
      <c r="AB591" s="17"/>
      <c r="AC591" s="17"/>
      <c r="AD591" s="17"/>
    </row>
    <row r="592" spans="1:30" ht="19.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8"/>
      <c r="AA592" s="17"/>
      <c r="AB592" s="17"/>
      <c r="AC592" s="17"/>
      <c r="AD592" s="17"/>
    </row>
    <row r="593" spans="1:30" ht="19.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8"/>
      <c r="AA593" s="17"/>
      <c r="AB593" s="17"/>
      <c r="AC593" s="17"/>
      <c r="AD593" s="17"/>
    </row>
    <row r="594" spans="1:30" ht="19.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8"/>
      <c r="AA594" s="17"/>
      <c r="AB594" s="17"/>
      <c r="AC594" s="17"/>
      <c r="AD594" s="17"/>
    </row>
    <row r="595" spans="1:30" ht="19.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8"/>
      <c r="AA595" s="17"/>
      <c r="AB595" s="17"/>
      <c r="AC595" s="17"/>
      <c r="AD595" s="17"/>
    </row>
    <row r="596" spans="1:30" ht="19.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8"/>
      <c r="AA596" s="17"/>
      <c r="AB596" s="17"/>
      <c r="AC596" s="17"/>
      <c r="AD596" s="17"/>
    </row>
    <row r="597" spans="1:30" ht="19.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8"/>
      <c r="AA597" s="17"/>
      <c r="AB597" s="17"/>
      <c r="AC597" s="17"/>
      <c r="AD597" s="17"/>
    </row>
    <row r="598" spans="1:30" ht="19.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8"/>
      <c r="AA598" s="17"/>
      <c r="AB598" s="17"/>
      <c r="AC598" s="17"/>
      <c r="AD598" s="17"/>
    </row>
    <row r="599" spans="1:30" ht="19.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8"/>
      <c r="AA599" s="17"/>
      <c r="AB599" s="17"/>
      <c r="AC599" s="17"/>
      <c r="AD599" s="17"/>
    </row>
    <row r="600" spans="1:30" ht="19.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8"/>
      <c r="AA600" s="17"/>
      <c r="AB600" s="17"/>
      <c r="AC600" s="17"/>
      <c r="AD600" s="17"/>
    </row>
    <row r="601" spans="1:30" ht="19.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8"/>
      <c r="AA601" s="17"/>
      <c r="AB601" s="17"/>
      <c r="AC601" s="17"/>
      <c r="AD601" s="17"/>
    </row>
    <row r="602" spans="1:30" ht="19.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8"/>
      <c r="AA602" s="17"/>
      <c r="AB602" s="17"/>
      <c r="AC602" s="17"/>
      <c r="AD602" s="17"/>
    </row>
    <row r="603" spans="1:30" ht="19.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8"/>
      <c r="AA603" s="17"/>
      <c r="AB603" s="17"/>
      <c r="AC603" s="17"/>
      <c r="AD603" s="17"/>
    </row>
    <row r="604" spans="1:30" ht="19.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8"/>
      <c r="AA604" s="17"/>
      <c r="AB604" s="17"/>
      <c r="AC604" s="17"/>
      <c r="AD604" s="17"/>
    </row>
    <row r="605" spans="1:30" ht="19.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8"/>
      <c r="AA605" s="17"/>
      <c r="AB605" s="17"/>
      <c r="AC605" s="17"/>
      <c r="AD605" s="17"/>
    </row>
    <row r="606" spans="1:30" ht="19.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8"/>
      <c r="AA606" s="17"/>
      <c r="AB606" s="17"/>
      <c r="AC606" s="17"/>
      <c r="AD606" s="17"/>
    </row>
    <row r="607" spans="1:30" ht="19.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8"/>
      <c r="AA607" s="17"/>
      <c r="AB607" s="17"/>
      <c r="AC607" s="17"/>
      <c r="AD607" s="17"/>
    </row>
    <row r="608" spans="1:30" ht="19.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8"/>
      <c r="AA608" s="17"/>
      <c r="AB608" s="17"/>
      <c r="AC608" s="17"/>
      <c r="AD608" s="17"/>
    </row>
    <row r="609" spans="1:30" ht="19.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8"/>
      <c r="AA609" s="17"/>
      <c r="AB609" s="17"/>
      <c r="AC609" s="17"/>
      <c r="AD609" s="17"/>
    </row>
    <row r="610" spans="1:30" ht="19.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8"/>
      <c r="AA610" s="17"/>
      <c r="AB610" s="17"/>
      <c r="AC610" s="17"/>
      <c r="AD610" s="17"/>
    </row>
    <row r="611" spans="1:30" ht="19.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8"/>
      <c r="AA611" s="17"/>
      <c r="AB611" s="17"/>
      <c r="AC611" s="17"/>
      <c r="AD611" s="17"/>
    </row>
    <row r="612" spans="1:30" ht="19.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8"/>
      <c r="AA612" s="17"/>
      <c r="AB612" s="17"/>
      <c r="AC612" s="17"/>
      <c r="AD612" s="17"/>
    </row>
    <row r="613" spans="1:30" ht="19.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8"/>
      <c r="AA613" s="17"/>
      <c r="AB613" s="17"/>
      <c r="AC613" s="17"/>
      <c r="AD613" s="17"/>
    </row>
    <row r="614" spans="1:30" ht="19.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8"/>
      <c r="AA614" s="17"/>
      <c r="AB614" s="17"/>
      <c r="AC614" s="17"/>
      <c r="AD614" s="17"/>
    </row>
    <row r="615" spans="1:30" ht="19.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8"/>
      <c r="AA615" s="17"/>
      <c r="AB615" s="17"/>
      <c r="AC615" s="17"/>
      <c r="AD615" s="17"/>
    </row>
    <row r="616" spans="1:30" ht="19.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8"/>
      <c r="AA616" s="17"/>
      <c r="AB616" s="17"/>
      <c r="AC616" s="17"/>
      <c r="AD616" s="17"/>
    </row>
    <row r="617" spans="1:30" ht="19.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8"/>
      <c r="AA617" s="17"/>
      <c r="AB617" s="17"/>
      <c r="AC617" s="17"/>
      <c r="AD617" s="17"/>
    </row>
    <row r="618" spans="1:30" ht="19.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8"/>
      <c r="AA618" s="17"/>
      <c r="AB618" s="17"/>
      <c r="AC618" s="17"/>
      <c r="AD618" s="17"/>
    </row>
    <row r="619" spans="1:30" ht="19.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8"/>
      <c r="AA619" s="17"/>
      <c r="AB619" s="17"/>
      <c r="AC619" s="17"/>
      <c r="AD619" s="17"/>
    </row>
    <row r="620" spans="1:30" ht="19.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8"/>
      <c r="AA620" s="17"/>
      <c r="AB620" s="17"/>
      <c r="AC620" s="17"/>
      <c r="AD620" s="17"/>
    </row>
    <row r="621" spans="1:30" ht="19.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8"/>
      <c r="AA621" s="17"/>
      <c r="AB621" s="17"/>
      <c r="AC621" s="17"/>
      <c r="AD621" s="17"/>
    </row>
    <row r="622" spans="1:30" ht="19.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8"/>
      <c r="AA622" s="17"/>
      <c r="AB622" s="17"/>
      <c r="AC622" s="17"/>
      <c r="AD622" s="17"/>
    </row>
    <row r="623" spans="1:30" ht="19.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8"/>
      <c r="AA623" s="17"/>
      <c r="AB623" s="17"/>
      <c r="AC623" s="17"/>
      <c r="AD623" s="17"/>
    </row>
    <row r="624" spans="1:30" ht="19.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8"/>
      <c r="AA624" s="17"/>
      <c r="AB624" s="17"/>
      <c r="AC624" s="17"/>
      <c r="AD624" s="17"/>
    </row>
    <row r="625" spans="1:30" ht="19.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8"/>
      <c r="AA625" s="17"/>
      <c r="AB625" s="17"/>
      <c r="AC625" s="17"/>
      <c r="AD625" s="17"/>
    </row>
    <row r="626" spans="1:30" ht="19.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8"/>
      <c r="AA626" s="17"/>
      <c r="AB626" s="17"/>
      <c r="AC626" s="17"/>
      <c r="AD626" s="17"/>
    </row>
    <row r="627" spans="1:30" ht="19.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8"/>
      <c r="AA627" s="17"/>
      <c r="AB627" s="17"/>
      <c r="AC627" s="17"/>
      <c r="AD627" s="17"/>
    </row>
    <row r="628" spans="1:30" ht="19.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8"/>
      <c r="AA628" s="17"/>
      <c r="AB628" s="17"/>
      <c r="AC628" s="17"/>
      <c r="AD628" s="17"/>
    </row>
    <row r="629" spans="1:30" ht="19.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8"/>
      <c r="AA629" s="17"/>
      <c r="AB629" s="17"/>
      <c r="AC629" s="17"/>
      <c r="AD629" s="17"/>
    </row>
    <row r="630" spans="1:30" ht="19.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8"/>
      <c r="AA630" s="17"/>
      <c r="AB630" s="17"/>
      <c r="AC630" s="17"/>
      <c r="AD630" s="17"/>
    </row>
    <row r="631" spans="1:30" ht="19.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8"/>
      <c r="AA631" s="17"/>
      <c r="AB631" s="17"/>
      <c r="AC631" s="17"/>
      <c r="AD631" s="17"/>
    </row>
    <row r="632" spans="1:30" ht="19.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8"/>
      <c r="AA632" s="17"/>
      <c r="AB632" s="17"/>
      <c r="AC632" s="17"/>
      <c r="AD632" s="17"/>
    </row>
    <row r="633" spans="1:30" ht="19.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8"/>
      <c r="AA633" s="17"/>
      <c r="AB633" s="17"/>
      <c r="AC633" s="17"/>
      <c r="AD633" s="17"/>
    </row>
    <row r="634" spans="1:30" ht="19.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8"/>
      <c r="AA634" s="17"/>
      <c r="AB634" s="17"/>
      <c r="AC634" s="17"/>
      <c r="AD634" s="17"/>
    </row>
    <row r="635" spans="1:30" ht="19.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8"/>
      <c r="AA635" s="17"/>
      <c r="AB635" s="17"/>
      <c r="AC635" s="17"/>
      <c r="AD635" s="17"/>
    </row>
    <row r="636" spans="1:30" ht="19.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8"/>
      <c r="AA636" s="17"/>
      <c r="AB636" s="17"/>
      <c r="AC636" s="17"/>
      <c r="AD636" s="17"/>
    </row>
    <row r="637" spans="1:30" ht="19.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8"/>
      <c r="AA637" s="17"/>
      <c r="AB637" s="17"/>
      <c r="AC637" s="17"/>
      <c r="AD637" s="17"/>
    </row>
    <row r="638" spans="1:30" ht="19.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8"/>
      <c r="AA638" s="17"/>
      <c r="AB638" s="17"/>
      <c r="AC638" s="17"/>
      <c r="AD638" s="17"/>
    </row>
    <row r="639" spans="1:30" ht="19.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8"/>
      <c r="AA639" s="17"/>
      <c r="AB639" s="17"/>
      <c r="AC639" s="17"/>
      <c r="AD639" s="17"/>
    </row>
    <row r="640" spans="1:30" ht="19.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8"/>
      <c r="AA640" s="17"/>
      <c r="AB640" s="17"/>
      <c r="AC640" s="17"/>
      <c r="AD640" s="17"/>
    </row>
    <row r="641" spans="1:30" ht="19.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8"/>
      <c r="AA641" s="17"/>
      <c r="AB641" s="17"/>
      <c r="AC641" s="17"/>
      <c r="AD641" s="17"/>
    </row>
    <row r="642" spans="1:30" ht="19.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8"/>
      <c r="AA642" s="17"/>
      <c r="AB642" s="17"/>
      <c r="AC642" s="17"/>
      <c r="AD642" s="17"/>
    </row>
    <row r="643" spans="1:30" ht="19.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8"/>
      <c r="AA643" s="17"/>
      <c r="AB643" s="17"/>
      <c r="AC643" s="17"/>
      <c r="AD643" s="17"/>
    </row>
    <row r="644" spans="1:30" ht="19.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8"/>
      <c r="AA644" s="17"/>
      <c r="AB644" s="17"/>
      <c r="AC644" s="17"/>
      <c r="AD644" s="17"/>
    </row>
    <row r="645" spans="1:30" ht="19.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8"/>
      <c r="AA645" s="17"/>
      <c r="AB645" s="17"/>
      <c r="AC645" s="17"/>
      <c r="AD645" s="17"/>
    </row>
    <row r="646" spans="1:30" ht="19.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8"/>
      <c r="AA646" s="17"/>
      <c r="AB646" s="17"/>
      <c r="AC646" s="17"/>
      <c r="AD646" s="17"/>
    </row>
    <row r="647" spans="1:30" ht="19.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8"/>
      <c r="AA647" s="17"/>
      <c r="AB647" s="17"/>
      <c r="AC647" s="17"/>
      <c r="AD647" s="17"/>
    </row>
    <row r="648" spans="1:30" ht="19.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8"/>
      <c r="AA648" s="17"/>
      <c r="AB648" s="17"/>
      <c r="AC648" s="17"/>
      <c r="AD648" s="17"/>
    </row>
    <row r="649" spans="1:30" ht="19.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8"/>
      <c r="AA649" s="17"/>
      <c r="AB649" s="17"/>
      <c r="AC649" s="17"/>
      <c r="AD649" s="17"/>
    </row>
    <row r="650" spans="1:30" ht="19.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8"/>
      <c r="AA650" s="17"/>
      <c r="AB650" s="17"/>
      <c r="AC650" s="17"/>
      <c r="AD650" s="17"/>
    </row>
    <row r="651" spans="1:30" ht="19.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8"/>
      <c r="AA651" s="17"/>
      <c r="AB651" s="17"/>
      <c r="AC651" s="17"/>
      <c r="AD651" s="17"/>
    </row>
    <row r="652" spans="1:30" ht="19.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8"/>
      <c r="AA652" s="17"/>
      <c r="AB652" s="17"/>
      <c r="AC652" s="17"/>
      <c r="AD652" s="17"/>
    </row>
    <row r="653" spans="1:30" ht="19.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8"/>
      <c r="AA653" s="17"/>
      <c r="AB653" s="17"/>
      <c r="AC653" s="17"/>
      <c r="AD653" s="17"/>
    </row>
    <row r="654" spans="1:30" ht="19.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8"/>
      <c r="AA654" s="17"/>
      <c r="AB654" s="17"/>
      <c r="AC654" s="17"/>
      <c r="AD654" s="17"/>
    </row>
    <row r="655" spans="1:30" ht="19.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8"/>
      <c r="AA655" s="17"/>
      <c r="AB655" s="17"/>
      <c r="AC655" s="17"/>
      <c r="AD655" s="17"/>
    </row>
    <row r="656" spans="1:30" ht="19.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8"/>
      <c r="AA656" s="17"/>
      <c r="AB656" s="17"/>
      <c r="AC656" s="17"/>
      <c r="AD656" s="17"/>
    </row>
    <row r="657" spans="1:30" ht="19.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8"/>
      <c r="AA657" s="17"/>
      <c r="AB657" s="17"/>
      <c r="AC657" s="17"/>
      <c r="AD657" s="17"/>
    </row>
    <row r="658" spans="1:30" ht="19.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8"/>
      <c r="AA658" s="17"/>
      <c r="AB658" s="17"/>
      <c r="AC658" s="17"/>
      <c r="AD658" s="17"/>
    </row>
    <row r="659" spans="1:30" ht="19.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8"/>
      <c r="AA659" s="17"/>
      <c r="AB659" s="17"/>
      <c r="AC659" s="17"/>
      <c r="AD659" s="17"/>
    </row>
    <row r="660" spans="1:30" ht="19.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8"/>
      <c r="AA660" s="17"/>
      <c r="AB660" s="17"/>
      <c r="AC660" s="17"/>
      <c r="AD660" s="17"/>
    </row>
    <row r="661" spans="1:30" ht="19.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8"/>
      <c r="AA661" s="17"/>
      <c r="AB661" s="17"/>
      <c r="AC661" s="17"/>
      <c r="AD661" s="17"/>
    </row>
    <row r="662" spans="1:30" ht="19.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8"/>
      <c r="AA662" s="17"/>
      <c r="AB662" s="17"/>
      <c r="AC662" s="17"/>
      <c r="AD662" s="17"/>
    </row>
    <row r="663" spans="1:30" ht="19.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8"/>
      <c r="AA663" s="17"/>
      <c r="AB663" s="17"/>
      <c r="AC663" s="17"/>
      <c r="AD663" s="17"/>
    </row>
    <row r="664" spans="1:30" ht="19.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8"/>
      <c r="AA664" s="17"/>
      <c r="AB664" s="17"/>
      <c r="AC664" s="17"/>
      <c r="AD664" s="17"/>
    </row>
    <row r="665" spans="1:30" ht="19.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8"/>
      <c r="AA665" s="17"/>
      <c r="AB665" s="17"/>
      <c r="AC665" s="17"/>
      <c r="AD665" s="17"/>
    </row>
    <row r="666" spans="1:30" ht="19.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8"/>
      <c r="AA666" s="17"/>
      <c r="AB666" s="17"/>
      <c r="AC666" s="17"/>
      <c r="AD666" s="17"/>
    </row>
    <row r="667" spans="1:30" ht="19.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8"/>
      <c r="AA667" s="17"/>
      <c r="AB667" s="17"/>
      <c r="AC667" s="17"/>
      <c r="AD667" s="17"/>
    </row>
    <row r="668" spans="1:30" ht="19.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8"/>
      <c r="AA668" s="17"/>
      <c r="AB668" s="17"/>
      <c r="AC668" s="17"/>
      <c r="AD668" s="17"/>
    </row>
    <row r="669" spans="1:30" ht="19.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8"/>
      <c r="AA669" s="17"/>
      <c r="AB669" s="17"/>
      <c r="AC669" s="17"/>
      <c r="AD669" s="17"/>
    </row>
    <row r="670" spans="1:30" ht="19.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8"/>
      <c r="AA670" s="17"/>
      <c r="AB670" s="17"/>
      <c r="AC670" s="17"/>
      <c r="AD670" s="17"/>
    </row>
    <row r="671" spans="1:30" ht="19.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8"/>
      <c r="AA671" s="17"/>
      <c r="AB671" s="17"/>
      <c r="AC671" s="17"/>
      <c r="AD671" s="17"/>
    </row>
    <row r="672" spans="1:30" ht="19.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8"/>
      <c r="AA672" s="17"/>
      <c r="AB672" s="17"/>
      <c r="AC672" s="17"/>
      <c r="AD672" s="17"/>
    </row>
    <row r="673" spans="1:30" ht="19.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8"/>
      <c r="AA673" s="17"/>
      <c r="AB673" s="17"/>
      <c r="AC673" s="17"/>
      <c r="AD673" s="17"/>
    </row>
    <row r="674" spans="1:30" ht="19.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8"/>
      <c r="AA674" s="17"/>
      <c r="AB674" s="17"/>
      <c r="AC674" s="17"/>
      <c r="AD674" s="17"/>
    </row>
    <row r="675" spans="1:30" ht="19.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8"/>
      <c r="AA675" s="17"/>
      <c r="AB675" s="17"/>
      <c r="AC675" s="17"/>
      <c r="AD675" s="17"/>
    </row>
    <row r="676" spans="1:30" ht="19.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8"/>
      <c r="AA676" s="17"/>
      <c r="AB676" s="17"/>
      <c r="AC676" s="17"/>
      <c r="AD676" s="17"/>
    </row>
    <row r="677" spans="1:30" ht="19.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8"/>
      <c r="AA677" s="17"/>
      <c r="AB677" s="17"/>
      <c r="AC677" s="17"/>
      <c r="AD677" s="17"/>
    </row>
    <row r="678" spans="1:30" ht="19.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8"/>
      <c r="AA678" s="17"/>
      <c r="AB678" s="17"/>
      <c r="AC678" s="17"/>
      <c r="AD678" s="17"/>
    </row>
    <row r="679" spans="1:30" ht="19.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8"/>
      <c r="AA679" s="17"/>
      <c r="AB679" s="17"/>
      <c r="AC679" s="17"/>
      <c r="AD679" s="17"/>
    </row>
    <row r="680" spans="1:30" ht="19.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8"/>
      <c r="AA680" s="17"/>
      <c r="AB680" s="17"/>
      <c r="AC680" s="17"/>
      <c r="AD680" s="17"/>
    </row>
    <row r="681" spans="1:30" ht="19.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8"/>
      <c r="AA681" s="17"/>
      <c r="AB681" s="17"/>
      <c r="AC681" s="17"/>
      <c r="AD681" s="17"/>
    </row>
    <row r="682" spans="1:30" ht="19.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8"/>
      <c r="AA682" s="17"/>
      <c r="AB682" s="17"/>
      <c r="AC682" s="17"/>
      <c r="AD682" s="17"/>
    </row>
    <row r="683" spans="1:30" ht="19.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8"/>
      <c r="AA683" s="17"/>
      <c r="AB683" s="17"/>
      <c r="AC683" s="17"/>
      <c r="AD683" s="17"/>
    </row>
    <row r="684" spans="1:30" ht="19.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8"/>
      <c r="AA684" s="17"/>
      <c r="AB684" s="17"/>
      <c r="AC684" s="17"/>
      <c r="AD684" s="17"/>
    </row>
    <row r="685" spans="1:30" ht="19.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8"/>
      <c r="AA685" s="17"/>
      <c r="AB685" s="17"/>
      <c r="AC685" s="17"/>
      <c r="AD685" s="17"/>
    </row>
    <row r="686" spans="1:30" ht="19.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8"/>
      <c r="AA686" s="17"/>
      <c r="AB686" s="17"/>
      <c r="AC686" s="17"/>
      <c r="AD686" s="17"/>
    </row>
    <row r="687" spans="1:30" ht="19.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8"/>
      <c r="AA687" s="17"/>
      <c r="AB687" s="17"/>
      <c r="AC687" s="17"/>
      <c r="AD687" s="17"/>
    </row>
    <row r="688" spans="1:30" ht="19.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8"/>
      <c r="AA688" s="17"/>
      <c r="AB688" s="17"/>
      <c r="AC688" s="17"/>
      <c r="AD688" s="17"/>
    </row>
    <row r="689" spans="1:30" ht="19.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8"/>
      <c r="AA689" s="17"/>
      <c r="AB689" s="17"/>
      <c r="AC689" s="17"/>
      <c r="AD689" s="17"/>
    </row>
    <row r="690" spans="1:30" ht="19.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8"/>
      <c r="AA690" s="17"/>
      <c r="AB690" s="17"/>
      <c r="AC690" s="17"/>
      <c r="AD690" s="17"/>
    </row>
    <row r="691" spans="1:30" ht="19.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8"/>
      <c r="AA691" s="17"/>
      <c r="AB691" s="17"/>
      <c r="AC691" s="17"/>
      <c r="AD691" s="17"/>
    </row>
    <row r="692" spans="1:30" ht="19.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8"/>
      <c r="AA692" s="17"/>
      <c r="AB692" s="17"/>
      <c r="AC692" s="17"/>
      <c r="AD692" s="17"/>
    </row>
    <row r="693" spans="1:30" ht="19.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8"/>
      <c r="AA693" s="17"/>
      <c r="AB693" s="17"/>
      <c r="AC693" s="17"/>
      <c r="AD693" s="17"/>
    </row>
    <row r="694" spans="1:30" ht="19.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8"/>
      <c r="AA694" s="17"/>
      <c r="AB694" s="17"/>
      <c r="AC694" s="17"/>
      <c r="AD694" s="17"/>
    </row>
    <row r="695" spans="1:30" ht="19.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8"/>
      <c r="AA695" s="17"/>
      <c r="AB695" s="17"/>
      <c r="AC695" s="17"/>
      <c r="AD695" s="17"/>
    </row>
    <row r="696" spans="1:30" ht="19.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8"/>
      <c r="AA696" s="17"/>
      <c r="AB696" s="17"/>
      <c r="AC696" s="17"/>
      <c r="AD696" s="17"/>
    </row>
    <row r="697" spans="1:30" ht="19.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8"/>
      <c r="AA697" s="17"/>
      <c r="AB697" s="17"/>
      <c r="AC697" s="17"/>
      <c r="AD697" s="17"/>
    </row>
    <row r="698" spans="1:30" ht="19.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8"/>
      <c r="AA698" s="17"/>
      <c r="AB698" s="17"/>
      <c r="AC698" s="17"/>
      <c r="AD698" s="17"/>
    </row>
    <row r="699" spans="1:30" ht="19.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8"/>
      <c r="AA699" s="17"/>
      <c r="AB699" s="17"/>
      <c r="AC699" s="17"/>
      <c r="AD699" s="17"/>
    </row>
    <row r="700" spans="1:30" ht="19.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8"/>
      <c r="AA700" s="17"/>
      <c r="AB700" s="17"/>
      <c r="AC700" s="17"/>
      <c r="AD700" s="17"/>
    </row>
    <row r="701" spans="1:30" ht="19.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8"/>
      <c r="AA701" s="17"/>
      <c r="AB701" s="17"/>
      <c r="AC701" s="17"/>
      <c r="AD701" s="17"/>
    </row>
    <row r="702" spans="1:30" ht="19.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8"/>
      <c r="AA702" s="17"/>
      <c r="AB702" s="17"/>
      <c r="AC702" s="17"/>
      <c r="AD702" s="17"/>
    </row>
    <row r="703" spans="1:30" ht="19.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8"/>
      <c r="AA703" s="17"/>
      <c r="AB703" s="17"/>
      <c r="AC703" s="17"/>
      <c r="AD703" s="17"/>
    </row>
    <row r="704" spans="1:30" ht="19.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8"/>
      <c r="AA704" s="17"/>
      <c r="AB704" s="17"/>
      <c r="AC704" s="17"/>
      <c r="AD704" s="17"/>
    </row>
    <row r="705" spans="1:30" ht="19.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8"/>
      <c r="AA705" s="17"/>
      <c r="AB705" s="17"/>
      <c r="AC705" s="17"/>
      <c r="AD705" s="17"/>
    </row>
    <row r="706" spans="1:30" ht="19.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8"/>
      <c r="AA706" s="17"/>
      <c r="AB706" s="17"/>
      <c r="AC706" s="17"/>
      <c r="AD706" s="17"/>
    </row>
    <row r="707" spans="1:30" ht="19.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8"/>
      <c r="AA707" s="17"/>
      <c r="AB707" s="17"/>
      <c r="AC707" s="17"/>
      <c r="AD707" s="17"/>
    </row>
    <row r="708" spans="1:30" ht="19.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8"/>
      <c r="AA708" s="17"/>
      <c r="AB708" s="17"/>
      <c r="AC708" s="17"/>
      <c r="AD708" s="17"/>
    </row>
    <row r="709" spans="1:30" ht="19.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8"/>
      <c r="AA709" s="17"/>
      <c r="AB709" s="17"/>
      <c r="AC709" s="17"/>
      <c r="AD709" s="17"/>
    </row>
    <row r="710" spans="1:30" ht="19.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8"/>
      <c r="AA710" s="17"/>
      <c r="AB710" s="17"/>
      <c r="AC710" s="17"/>
      <c r="AD710" s="17"/>
    </row>
    <row r="711" spans="1:30" ht="19.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8"/>
      <c r="AA711" s="17"/>
      <c r="AB711" s="17"/>
      <c r="AC711" s="17"/>
      <c r="AD711" s="17"/>
    </row>
    <row r="712" spans="1:30" ht="19.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8"/>
      <c r="AA712" s="17"/>
      <c r="AB712" s="17"/>
      <c r="AC712" s="17"/>
      <c r="AD712" s="17"/>
    </row>
    <row r="713" spans="1:30" ht="19.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8"/>
      <c r="AA713" s="17"/>
      <c r="AB713" s="17"/>
      <c r="AC713" s="17"/>
      <c r="AD713" s="17"/>
    </row>
    <row r="714" spans="1:30" ht="19.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8"/>
      <c r="AA714" s="17"/>
      <c r="AB714" s="17"/>
      <c r="AC714" s="17"/>
      <c r="AD714" s="17"/>
    </row>
    <row r="715" spans="1:30" ht="19.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8"/>
      <c r="AA715" s="17"/>
      <c r="AB715" s="17"/>
      <c r="AC715" s="17"/>
      <c r="AD715" s="17"/>
    </row>
    <row r="716" spans="1:30" ht="19.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8"/>
      <c r="AA716" s="17"/>
      <c r="AB716" s="17"/>
      <c r="AC716" s="17"/>
      <c r="AD716" s="17"/>
    </row>
    <row r="717" spans="1:30" ht="19.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8"/>
      <c r="AA717" s="17"/>
      <c r="AB717" s="17"/>
      <c r="AC717" s="17"/>
      <c r="AD717" s="17"/>
    </row>
    <row r="718" spans="1:30" ht="19.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8"/>
      <c r="AA718" s="17"/>
      <c r="AB718" s="17"/>
      <c r="AC718" s="17"/>
      <c r="AD718" s="17"/>
    </row>
    <row r="719" spans="1:30" ht="19.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8"/>
      <c r="AA719" s="17"/>
      <c r="AB719" s="17"/>
      <c r="AC719" s="17"/>
      <c r="AD719" s="17"/>
    </row>
    <row r="720" spans="1:30" ht="19.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8"/>
      <c r="AA720" s="17"/>
      <c r="AB720" s="17"/>
      <c r="AC720" s="17"/>
      <c r="AD720" s="17"/>
    </row>
    <row r="721" spans="1:30" ht="19.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8"/>
      <c r="AA721" s="17"/>
      <c r="AB721" s="17"/>
      <c r="AC721" s="17"/>
      <c r="AD721" s="17"/>
    </row>
    <row r="722" spans="1:30" ht="19.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8"/>
      <c r="AA722" s="17"/>
      <c r="AB722" s="17"/>
      <c r="AC722" s="17"/>
      <c r="AD722" s="17"/>
    </row>
    <row r="723" spans="1:30" ht="19.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8"/>
      <c r="AA723" s="17"/>
      <c r="AB723" s="17"/>
      <c r="AC723" s="17"/>
      <c r="AD723" s="17"/>
    </row>
    <row r="724" spans="1:30" ht="19.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8"/>
      <c r="AA724" s="17"/>
      <c r="AB724" s="17"/>
      <c r="AC724" s="17"/>
      <c r="AD724" s="17"/>
    </row>
    <row r="725" spans="1:30" ht="19.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8"/>
      <c r="AA725" s="17"/>
      <c r="AB725" s="17"/>
      <c r="AC725" s="17"/>
      <c r="AD725" s="17"/>
    </row>
    <row r="726" spans="1:30" ht="19.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8"/>
      <c r="AA726" s="17"/>
      <c r="AB726" s="17"/>
      <c r="AC726" s="17"/>
      <c r="AD726" s="17"/>
    </row>
    <row r="727" spans="1:30" ht="19.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8"/>
      <c r="AA727" s="17"/>
      <c r="AB727" s="17"/>
      <c r="AC727" s="17"/>
      <c r="AD727" s="17"/>
    </row>
    <row r="728" spans="1:30" ht="19.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8"/>
      <c r="AA728" s="17"/>
      <c r="AB728" s="17"/>
      <c r="AC728" s="17"/>
      <c r="AD728" s="17"/>
    </row>
    <row r="729" spans="1:30" ht="19.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8"/>
      <c r="AA729" s="17"/>
      <c r="AB729" s="17"/>
      <c r="AC729" s="17"/>
      <c r="AD729" s="17"/>
    </row>
    <row r="730" spans="1:30" ht="19.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8"/>
      <c r="AA730" s="17"/>
      <c r="AB730" s="17"/>
      <c r="AC730" s="17"/>
      <c r="AD730" s="17"/>
    </row>
    <row r="731" spans="1:30" ht="19.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8"/>
      <c r="AA731" s="17"/>
      <c r="AB731" s="17"/>
      <c r="AC731" s="17"/>
      <c r="AD731" s="17"/>
    </row>
    <row r="732" spans="1:30" ht="19.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8"/>
      <c r="AA732" s="17"/>
      <c r="AB732" s="17"/>
      <c r="AC732" s="17"/>
      <c r="AD732" s="17"/>
    </row>
    <row r="733" spans="1:30" ht="19.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8"/>
      <c r="AA733" s="17"/>
      <c r="AB733" s="17"/>
      <c r="AC733" s="17"/>
      <c r="AD733" s="17"/>
    </row>
    <row r="734" spans="1:30" ht="19.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8"/>
      <c r="AA734" s="17"/>
      <c r="AB734" s="17"/>
      <c r="AC734" s="17"/>
      <c r="AD734" s="17"/>
    </row>
    <row r="735" spans="1:30" ht="19.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8"/>
      <c r="AA735" s="17"/>
      <c r="AB735" s="17"/>
      <c r="AC735" s="17"/>
      <c r="AD735" s="17"/>
    </row>
    <row r="736" spans="1:30" ht="19.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8"/>
      <c r="AA736" s="17"/>
      <c r="AB736" s="17"/>
      <c r="AC736" s="17"/>
      <c r="AD736" s="17"/>
    </row>
    <row r="737" spans="1:30" ht="19.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8"/>
      <c r="AA737" s="17"/>
      <c r="AB737" s="17"/>
      <c r="AC737" s="17"/>
      <c r="AD737" s="17"/>
    </row>
    <row r="738" spans="1:30" ht="19.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8"/>
      <c r="AA738" s="17"/>
      <c r="AB738" s="17"/>
      <c r="AC738" s="17"/>
      <c r="AD738" s="17"/>
    </row>
    <row r="739" spans="1:30" ht="19.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8"/>
      <c r="AA739" s="17"/>
      <c r="AB739" s="17"/>
      <c r="AC739" s="17"/>
      <c r="AD739" s="17"/>
    </row>
    <row r="740" spans="1:30" ht="19.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8"/>
      <c r="AA740" s="17"/>
      <c r="AB740" s="17"/>
      <c r="AC740" s="17"/>
      <c r="AD740" s="17"/>
    </row>
    <row r="741" spans="1:30" ht="19.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8"/>
      <c r="AA741" s="17"/>
      <c r="AB741" s="17"/>
      <c r="AC741" s="17"/>
      <c r="AD741" s="17"/>
    </row>
    <row r="742" spans="1:30" ht="19.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8"/>
      <c r="AA742" s="17"/>
      <c r="AB742" s="17"/>
      <c r="AC742" s="17"/>
      <c r="AD742" s="17"/>
    </row>
    <row r="743" spans="1:30" ht="19.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8"/>
      <c r="AA743" s="17"/>
      <c r="AB743" s="17"/>
      <c r="AC743" s="17"/>
      <c r="AD743" s="17"/>
    </row>
    <row r="744" spans="1:30" ht="19.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8"/>
      <c r="AA744" s="17"/>
      <c r="AB744" s="17"/>
      <c r="AC744" s="17"/>
      <c r="AD744" s="17"/>
    </row>
    <row r="745" spans="1:30" ht="19.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8"/>
      <c r="AA745" s="17"/>
      <c r="AB745" s="17"/>
      <c r="AC745" s="17"/>
      <c r="AD745" s="17"/>
    </row>
    <row r="746" spans="1:30" ht="19.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8"/>
      <c r="AA746" s="17"/>
      <c r="AB746" s="17"/>
      <c r="AC746" s="17"/>
      <c r="AD746" s="17"/>
    </row>
    <row r="747" spans="1:30" ht="19.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8"/>
      <c r="AA747" s="17"/>
      <c r="AB747" s="17"/>
      <c r="AC747" s="17"/>
      <c r="AD747" s="17"/>
    </row>
    <row r="748" spans="1:30" ht="19.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8"/>
      <c r="AA748" s="17"/>
      <c r="AB748" s="17"/>
      <c r="AC748" s="17"/>
      <c r="AD748" s="17"/>
    </row>
    <row r="749" spans="1:30" ht="19.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8"/>
      <c r="AA749" s="17"/>
      <c r="AB749" s="17"/>
      <c r="AC749" s="17"/>
      <c r="AD749" s="17"/>
    </row>
    <row r="750" spans="1:30" ht="19.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8"/>
      <c r="AA750" s="17"/>
      <c r="AB750" s="17"/>
      <c r="AC750" s="17"/>
      <c r="AD750" s="17"/>
    </row>
    <row r="751" spans="1:30" ht="19.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8"/>
      <c r="AA751" s="17"/>
      <c r="AB751" s="17"/>
      <c r="AC751" s="17"/>
      <c r="AD751" s="17"/>
    </row>
    <row r="752" spans="1:30" ht="19.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8"/>
      <c r="AA752" s="17"/>
      <c r="AB752" s="17"/>
      <c r="AC752" s="17"/>
      <c r="AD752" s="17"/>
    </row>
    <row r="753" spans="1:30" ht="19.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8"/>
      <c r="AA753" s="17"/>
      <c r="AB753" s="17"/>
      <c r="AC753" s="17"/>
      <c r="AD753" s="17"/>
    </row>
    <row r="754" spans="1:30" ht="19.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8"/>
      <c r="AA754" s="17"/>
      <c r="AB754" s="17"/>
      <c r="AC754" s="17"/>
      <c r="AD754" s="17"/>
    </row>
    <row r="755" spans="1:30" ht="19.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8"/>
      <c r="AA755" s="17"/>
      <c r="AB755" s="17"/>
      <c r="AC755" s="17"/>
      <c r="AD755" s="17"/>
    </row>
    <row r="756" spans="1:30" ht="19.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8"/>
      <c r="AA756" s="17"/>
      <c r="AB756" s="17"/>
      <c r="AC756" s="17"/>
      <c r="AD756" s="17"/>
    </row>
    <row r="757" spans="1:30" ht="19.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8"/>
      <c r="AA757" s="17"/>
      <c r="AB757" s="17"/>
      <c r="AC757" s="17"/>
      <c r="AD757" s="17"/>
    </row>
    <row r="758" spans="1:30" ht="19.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8"/>
      <c r="AA758" s="17"/>
      <c r="AB758" s="17"/>
      <c r="AC758" s="17"/>
      <c r="AD758" s="17"/>
    </row>
    <row r="759" spans="1:30" ht="19.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8"/>
      <c r="AA759" s="17"/>
      <c r="AB759" s="17"/>
      <c r="AC759" s="17"/>
      <c r="AD759" s="17"/>
    </row>
    <row r="760" spans="1:30" ht="19.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8"/>
      <c r="AA760" s="17"/>
      <c r="AB760" s="17"/>
      <c r="AC760" s="17"/>
      <c r="AD760" s="17"/>
    </row>
    <row r="761" spans="1:30" ht="19.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8"/>
      <c r="AA761" s="17"/>
      <c r="AB761" s="17"/>
      <c r="AC761" s="17"/>
      <c r="AD761" s="17"/>
    </row>
    <row r="762" spans="1:30" ht="19.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8"/>
      <c r="AA762" s="17"/>
      <c r="AB762" s="17"/>
      <c r="AC762" s="17"/>
      <c r="AD762" s="17"/>
    </row>
    <row r="763" spans="1:30" ht="19.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8"/>
      <c r="AA763" s="17"/>
      <c r="AB763" s="17"/>
      <c r="AC763" s="17"/>
      <c r="AD763" s="17"/>
    </row>
    <row r="764" spans="1:30" ht="19.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8"/>
      <c r="AA764" s="17"/>
      <c r="AB764" s="17"/>
      <c r="AC764" s="17"/>
      <c r="AD764" s="17"/>
    </row>
    <row r="765" spans="1:30" ht="19.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8"/>
      <c r="AA765" s="17"/>
      <c r="AB765" s="17"/>
      <c r="AC765" s="17"/>
      <c r="AD765" s="17"/>
    </row>
    <row r="766" spans="1:30" ht="19.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8"/>
      <c r="AA766" s="17"/>
      <c r="AB766" s="17"/>
      <c r="AC766" s="17"/>
      <c r="AD766" s="17"/>
    </row>
    <row r="767" spans="1:30" ht="19.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8"/>
      <c r="AA767" s="17"/>
      <c r="AB767" s="17"/>
      <c r="AC767" s="17"/>
      <c r="AD767" s="17"/>
    </row>
    <row r="768" spans="1:30" ht="19.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8"/>
      <c r="AA768" s="17"/>
      <c r="AB768" s="17"/>
      <c r="AC768" s="17"/>
      <c r="AD768" s="17"/>
    </row>
    <row r="769" spans="1:30" ht="19.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8"/>
      <c r="AA769" s="17"/>
      <c r="AB769" s="17"/>
      <c r="AC769" s="17"/>
      <c r="AD769" s="17"/>
    </row>
    <row r="770" spans="1:30" ht="19.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8"/>
      <c r="AA770" s="17"/>
      <c r="AB770" s="17"/>
      <c r="AC770" s="17"/>
      <c r="AD770" s="17"/>
    </row>
    <row r="771" spans="1:30" ht="19.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8"/>
      <c r="AA771" s="17"/>
      <c r="AB771" s="17"/>
      <c r="AC771" s="17"/>
      <c r="AD771" s="17"/>
    </row>
    <row r="772" spans="1:30" ht="19.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8"/>
      <c r="AA772" s="17"/>
      <c r="AB772" s="17"/>
      <c r="AC772" s="17"/>
      <c r="AD772" s="17"/>
    </row>
    <row r="773" spans="1:30" ht="19.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8"/>
      <c r="AA773" s="17"/>
      <c r="AB773" s="17"/>
      <c r="AC773" s="17"/>
      <c r="AD773" s="17"/>
    </row>
    <row r="774" spans="1:30" ht="19.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8"/>
      <c r="AA774" s="17"/>
      <c r="AB774" s="17"/>
      <c r="AC774" s="17"/>
      <c r="AD774" s="17"/>
    </row>
    <row r="775" spans="1:30" ht="19.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8"/>
      <c r="AA775" s="17"/>
      <c r="AB775" s="17"/>
      <c r="AC775" s="17"/>
      <c r="AD775" s="17"/>
    </row>
    <row r="776" spans="1:30" ht="19.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8"/>
      <c r="AA776" s="17"/>
      <c r="AB776" s="17"/>
      <c r="AC776" s="17"/>
      <c r="AD776" s="17"/>
    </row>
    <row r="777" spans="1:30" ht="19.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8"/>
      <c r="AA777" s="17"/>
      <c r="AB777" s="17"/>
      <c r="AC777" s="17"/>
      <c r="AD777" s="17"/>
    </row>
    <row r="778" spans="1:30" ht="19.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8"/>
      <c r="AA778" s="17"/>
      <c r="AB778" s="17"/>
      <c r="AC778" s="17"/>
      <c r="AD778" s="17"/>
    </row>
    <row r="779" spans="1:30" ht="19.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8"/>
      <c r="AA779" s="17"/>
      <c r="AB779" s="17"/>
      <c r="AC779" s="17"/>
      <c r="AD779" s="17"/>
    </row>
    <row r="780" spans="1:30" ht="19.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8"/>
      <c r="AA780" s="17"/>
      <c r="AB780" s="17"/>
      <c r="AC780" s="17"/>
      <c r="AD780" s="17"/>
    </row>
    <row r="781" spans="1:30" ht="19.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8"/>
      <c r="AA781" s="17"/>
      <c r="AB781" s="17"/>
      <c r="AC781" s="17"/>
      <c r="AD781" s="17"/>
    </row>
    <row r="782" spans="1:30" ht="19.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8"/>
      <c r="AA782" s="17"/>
      <c r="AB782" s="17"/>
      <c r="AC782" s="17"/>
      <c r="AD782" s="17"/>
    </row>
    <row r="783" spans="1:30" ht="19.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8"/>
      <c r="AA783" s="17"/>
      <c r="AB783" s="17"/>
      <c r="AC783" s="17"/>
      <c r="AD783" s="17"/>
    </row>
    <row r="784" spans="1:30" ht="19.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8"/>
      <c r="AA784" s="17"/>
      <c r="AB784" s="17"/>
      <c r="AC784" s="17"/>
      <c r="AD784" s="17"/>
    </row>
    <row r="785" spans="1:30" ht="19.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8"/>
      <c r="AA785" s="17"/>
      <c r="AB785" s="17"/>
      <c r="AC785" s="17"/>
      <c r="AD785" s="17"/>
    </row>
    <row r="786" spans="1:30" ht="19.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8"/>
      <c r="AA786" s="17"/>
      <c r="AB786" s="17"/>
      <c r="AC786" s="17"/>
      <c r="AD786" s="17"/>
    </row>
    <row r="787" spans="1:30" ht="19.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8"/>
      <c r="AA787" s="17"/>
      <c r="AB787" s="17"/>
      <c r="AC787" s="17"/>
      <c r="AD787" s="17"/>
    </row>
    <row r="788" spans="1:30" ht="19.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8"/>
      <c r="AA788" s="17"/>
      <c r="AB788" s="17"/>
      <c r="AC788" s="17"/>
      <c r="AD788" s="17"/>
    </row>
    <row r="789" spans="1:30" ht="19.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8"/>
      <c r="AA789" s="17"/>
      <c r="AB789" s="17"/>
      <c r="AC789" s="17"/>
      <c r="AD789" s="17"/>
    </row>
    <row r="790" spans="1:30" ht="19.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8"/>
      <c r="AA790" s="17"/>
      <c r="AB790" s="17"/>
      <c r="AC790" s="17"/>
      <c r="AD790" s="17"/>
    </row>
    <row r="791" spans="1:30" ht="19.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8"/>
      <c r="AA791" s="17"/>
      <c r="AB791" s="17"/>
      <c r="AC791" s="17"/>
      <c r="AD791" s="17"/>
    </row>
    <row r="792" spans="1:30" ht="19.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8"/>
      <c r="AA792" s="17"/>
      <c r="AB792" s="17"/>
      <c r="AC792" s="17"/>
      <c r="AD792" s="17"/>
    </row>
    <row r="793" spans="1:30" ht="19.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8"/>
      <c r="AA793" s="17"/>
      <c r="AB793" s="17"/>
      <c r="AC793" s="17"/>
      <c r="AD793" s="17"/>
    </row>
    <row r="794" spans="1:30" ht="19.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8"/>
      <c r="AA794" s="17"/>
      <c r="AB794" s="17"/>
      <c r="AC794" s="17"/>
      <c r="AD794" s="17"/>
    </row>
    <row r="795" spans="1:30" ht="19.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8"/>
      <c r="AA795" s="17"/>
      <c r="AB795" s="17"/>
      <c r="AC795" s="17"/>
      <c r="AD795" s="17"/>
    </row>
    <row r="796" spans="1:30" ht="19.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8"/>
      <c r="AA796" s="17"/>
      <c r="AB796" s="17"/>
      <c r="AC796" s="17"/>
      <c r="AD796" s="17"/>
    </row>
    <row r="797" spans="1:30" ht="19.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8"/>
      <c r="AA797" s="17"/>
      <c r="AB797" s="17"/>
      <c r="AC797" s="17"/>
      <c r="AD797" s="17"/>
    </row>
    <row r="798" spans="1:30" ht="19.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8"/>
      <c r="AA798" s="17"/>
      <c r="AB798" s="17"/>
      <c r="AC798" s="17"/>
      <c r="AD798" s="17"/>
    </row>
    <row r="799" spans="1:30" ht="19.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8"/>
      <c r="AA799" s="17"/>
      <c r="AB799" s="17"/>
      <c r="AC799" s="17"/>
      <c r="AD799" s="17"/>
    </row>
    <row r="800" spans="1:30" ht="19.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8"/>
      <c r="AA800" s="17"/>
      <c r="AB800" s="17"/>
      <c r="AC800" s="17"/>
      <c r="AD800" s="17"/>
    </row>
    <row r="801" spans="1:30" ht="19.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8"/>
      <c r="AA801" s="17"/>
      <c r="AB801" s="17"/>
      <c r="AC801" s="17"/>
      <c r="AD801" s="17"/>
    </row>
    <row r="802" spans="1:30" ht="19.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8"/>
      <c r="AA802" s="17"/>
      <c r="AB802" s="17"/>
      <c r="AC802" s="17"/>
      <c r="AD802" s="17"/>
    </row>
    <row r="803" spans="1:30" ht="19.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8"/>
      <c r="AA803" s="17"/>
      <c r="AB803" s="17"/>
      <c r="AC803" s="17"/>
      <c r="AD803" s="17"/>
    </row>
    <row r="804" spans="1:30" ht="19.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8"/>
      <c r="AA804" s="17"/>
      <c r="AB804" s="17"/>
      <c r="AC804" s="17"/>
      <c r="AD804" s="17"/>
    </row>
    <row r="805" spans="1:30" ht="19.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8"/>
      <c r="AA805" s="17"/>
      <c r="AB805" s="17"/>
      <c r="AC805" s="17"/>
      <c r="AD805" s="17"/>
    </row>
    <row r="806" spans="1:30" ht="19.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8"/>
      <c r="AA806" s="17"/>
      <c r="AB806" s="17"/>
      <c r="AC806" s="17"/>
      <c r="AD806" s="17"/>
    </row>
    <row r="807" spans="1:30" ht="19.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8"/>
      <c r="AA807" s="17"/>
      <c r="AB807" s="17"/>
      <c r="AC807" s="17"/>
      <c r="AD807" s="17"/>
    </row>
    <row r="808" spans="1:30" ht="19.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8"/>
      <c r="AA808" s="17"/>
      <c r="AB808" s="17"/>
      <c r="AC808" s="17"/>
      <c r="AD808" s="17"/>
    </row>
    <row r="809" spans="1:30" ht="19.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8"/>
      <c r="AA809" s="17"/>
      <c r="AB809" s="17"/>
      <c r="AC809" s="17"/>
      <c r="AD809" s="17"/>
    </row>
    <row r="810" spans="1:30" ht="19.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8"/>
      <c r="AA810" s="17"/>
      <c r="AB810" s="17"/>
      <c r="AC810" s="17"/>
      <c r="AD810" s="17"/>
    </row>
    <row r="811" spans="1:30" ht="19.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8"/>
      <c r="AA811" s="17"/>
      <c r="AB811" s="17"/>
      <c r="AC811" s="17"/>
      <c r="AD811" s="17"/>
    </row>
    <row r="812" spans="1:30" ht="19.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8"/>
      <c r="AA812" s="17"/>
      <c r="AB812" s="17"/>
      <c r="AC812" s="17"/>
      <c r="AD812" s="17"/>
    </row>
    <row r="813" spans="1:30" ht="19.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8"/>
      <c r="AA813" s="17"/>
      <c r="AB813" s="17"/>
      <c r="AC813" s="17"/>
      <c r="AD813" s="17"/>
    </row>
    <row r="814" spans="1:30" ht="19.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8"/>
      <c r="AA814" s="17"/>
      <c r="AB814" s="17"/>
      <c r="AC814" s="17"/>
      <c r="AD814" s="17"/>
    </row>
    <row r="815" spans="1:30" ht="19.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8"/>
      <c r="AA815" s="17"/>
      <c r="AB815" s="17"/>
      <c r="AC815" s="17"/>
      <c r="AD815" s="17"/>
    </row>
    <row r="816" spans="1:30" ht="19.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8"/>
      <c r="AA816" s="17"/>
      <c r="AB816" s="17"/>
      <c r="AC816" s="17"/>
      <c r="AD816" s="17"/>
    </row>
    <row r="817" spans="1:30" ht="19.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8"/>
      <c r="AA817" s="17"/>
      <c r="AB817" s="17"/>
      <c r="AC817" s="17"/>
      <c r="AD817" s="17"/>
    </row>
    <row r="818" spans="1:30" ht="19.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8"/>
      <c r="AA818" s="17"/>
      <c r="AB818" s="17"/>
      <c r="AC818" s="17"/>
      <c r="AD818" s="17"/>
    </row>
    <row r="819" spans="1:30" ht="19.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8"/>
      <c r="AA819" s="17"/>
      <c r="AB819" s="17"/>
      <c r="AC819" s="17"/>
      <c r="AD819" s="17"/>
    </row>
    <row r="820" spans="1:30" ht="19.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8"/>
      <c r="AA820" s="17"/>
      <c r="AB820" s="17"/>
      <c r="AC820" s="17"/>
      <c r="AD820" s="17"/>
    </row>
    <row r="821" spans="1:30" ht="19.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8"/>
      <c r="AA821" s="17"/>
      <c r="AB821" s="17"/>
      <c r="AC821" s="17"/>
      <c r="AD821" s="17"/>
    </row>
    <row r="822" spans="1:30" ht="19.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8"/>
      <c r="AA822" s="17"/>
      <c r="AB822" s="17"/>
      <c r="AC822" s="17"/>
      <c r="AD822" s="17"/>
    </row>
    <row r="823" spans="1:30" ht="19.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8"/>
      <c r="AA823" s="17"/>
      <c r="AB823" s="17"/>
      <c r="AC823" s="17"/>
      <c r="AD823" s="17"/>
    </row>
    <row r="824" spans="1:30" ht="19.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8"/>
      <c r="AA824" s="17"/>
      <c r="AB824" s="17"/>
      <c r="AC824" s="17"/>
      <c r="AD824" s="17"/>
    </row>
    <row r="825" spans="1:30" ht="19.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8"/>
      <c r="AA825" s="17"/>
      <c r="AB825" s="17"/>
      <c r="AC825" s="17"/>
      <c r="AD825" s="17"/>
    </row>
    <row r="826" spans="1:30" ht="19.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8"/>
      <c r="AA826" s="17"/>
      <c r="AB826" s="17"/>
      <c r="AC826" s="17"/>
      <c r="AD826" s="17"/>
    </row>
    <row r="827" spans="1:30" ht="19.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8"/>
      <c r="AA827" s="17"/>
      <c r="AB827" s="17"/>
      <c r="AC827" s="17"/>
      <c r="AD827" s="17"/>
    </row>
    <row r="828" spans="1:30" ht="19.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8"/>
      <c r="AA828" s="17"/>
      <c r="AB828" s="17"/>
      <c r="AC828" s="17"/>
      <c r="AD828" s="17"/>
    </row>
    <row r="829" spans="1:30" ht="19.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8"/>
      <c r="AA829" s="17"/>
      <c r="AB829" s="17"/>
      <c r="AC829" s="17"/>
      <c r="AD829" s="17"/>
    </row>
    <row r="830" spans="1:30" ht="19.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8"/>
      <c r="AA830" s="17"/>
      <c r="AB830" s="17"/>
      <c r="AC830" s="17"/>
      <c r="AD830" s="17"/>
    </row>
    <row r="831" spans="1:30" ht="19.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8"/>
      <c r="AA831" s="17"/>
      <c r="AB831" s="17"/>
      <c r="AC831" s="17"/>
      <c r="AD831" s="17"/>
    </row>
    <row r="832" spans="1:30" ht="19.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8"/>
      <c r="AA832" s="17"/>
      <c r="AB832" s="17"/>
      <c r="AC832" s="17"/>
      <c r="AD832" s="17"/>
    </row>
    <row r="833" spans="1:30" ht="19.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8"/>
      <c r="AA833" s="17"/>
      <c r="AB833" s="17"/>
      <c r="AC833" s="17"/>
      <c r="AD833" s="17"/>
    </row>
    <row r="834" spans="1:30" ht="19.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8"/>
      <c r="AA834" s="17"/>
      <c r="AB834" s="17"/>
      <c r="AC834" s="17"/>
      <c r="AD834" s="17"/>
    </row>
    <row r="835" spans="1:30" ht="19.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8"/>
      <c r="AA835" s="17"/>
      <c r="AB835" s="17"/>
      <c r="AC835" s="17"/>
      <c r="AD835" s="17"/>
    </row>
    <row r="836" spans="1:30" ht="19.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8"/>
      <c r="AA836" s="17"/>
      <c r="AB836" s="17"/>
      <c r="AC836" s="17"/>
      <c r="AD836" s="17"/>
    </row>
    <row r="837" spans="1:30" ht="19.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8"/>
      <c r="AA837" s="17"/>
      <c r="AB837" s="17"/>
      <c r="AC837" s="17"/>
      <c r="AD837" s="17"/>
    </row>
    <row r="838" spans="1:30" ht="19.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8"/>
      <c r="AA838" s="17"/>
      <c r="AB838" s="17"/>
      <c r="AC838" s="17"/>
      <c r="AD838" s="17"/>
    </row>
    <row r="839" spans="1:30" ht="19.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8"/>
      <c r="AA839" s="17"/>
      <c r="AB839" s="17"/>
      <c r="AC839" s="17"/>
      <c r="AD839" s="17"/>
    </row>
    <row r="840" spans="1:30" ht="19.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8"/>
      <c r="AA840" s="17"/>
      <c r="AB840" s="17"/>
      <c r="AC840" s="17"/>
      <c r="AD840" s="17"/>
    </row>
    <row r="841" spans="1:30" ht="19.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8"/>
      <c r="AA841" s="17"/>
      <c r="AB841" s="17"/>
      <c r="AC841" s="17"/>
      <c r="AD841" s="17"/>
    </row>
    <row r="842" spans="1:30" ht="19.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8"/>
      <c r="AA842" s="17"/>
      <c r="AB842" s="17"/>
      <c r="AC842" s="17"/>
      <c r="AD842" s="17"/>
    </row>
    <row r="843" spans="1:30" ht="19.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8"/>
      <c r="AA843" s="17"/>
      <c r="AB843" s="17"/>
      <c r="AC843" s="17"/>
      <c r="AD843" s="17"/>
    </row>
    <row r="844" spans="1:30" ht="19.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8"/>
      <c r="AA844" s="17"/>
      <c r="AB844" s="17"/>
      <c r="AC844" s="17"/>
      <c r="AD844" s="17"/>
    </row>
    <row r="845" spans="1:30" ht="19.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8"/>
      <c r="AA845" s="17"/>
      <c r="AB845" s="17"/>
      <c r="AC845" s="17"/>
      <c r="AD845" s="17"/>
    </row>
    <row r="846" spans="1:30" ht="19.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8"/>
      <c r="AA846" s="17"/>
      <c r="AB846" s="17"/>
      <c r="AC846" s="17"/>
      <c r="AD846" s="17"/>
    </row>
    <row r="847" spans="1:30" ht="19.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8"/>
      <c r="AA847" s="17"/>
      <c r="AB847" s="17"/>
      <c r="AC847" s="17"/>
      <c r="AD847" s="17"/>
    </row>
    <row r="848" spans="1:30" ht="19.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8"/>
      <c r="AA848" s="17"/>
      <c r="AB848" s="17"/>
      <c r="AC848" s="17"/>
      <c r="AD848" s="17"/>
    </row>
    <row r="849" spans="1:30" ht="19.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8"/>
      <c r="AA849" s="17"/>
      <c r="AB849" s="17"/>
      <c r="AC849" s="17"/>
      <c r="AD849" s="17"/>
    </row>
    <row r="850" spans="1:30" ht="19.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8"/>
      <c r="AA850" s="17"/>
      <c r="AB850" s="17"/>
      <c r="AC850" s="17"/>
      <c r="AD850" s="17"/>
    </row>
    <row r="851" spans="1:30" ht="19.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8"/>
      <c r="AA851" s="17"/>
      <c r="AB851" s="17"/>
      <c r="AC851" s="17"/>
      <c r="AD851" s="17"/>
    </row>
    <row r="852" spans="1:30" ht="19.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8"/>
      <c r="AA852" s="17"/>
      <c r="AB852" s="17"/>
      <c r="AC852" s="17"/>
      <c r="AD852" s="17"/>
    </row>
    <row r="853" spans="1:30" ht="19.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8"/>
      <c r="AA853" s="17"/>
      <c r="AB853" s="17"/>
      <c r="AC853" s="17"/>
      <c r="AD853" s="17"/>
    </row>
    <row r="854" spans="1:30" ht="19.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8"/>
      <c r="AA854" s="17"/>
      <c r="AB854" s="17"/>
      <c r="AC854" s="17"/>
      <c r="AD854" s="17"/>
    </row>
    <row r="855" spans="1:30" ht="19.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8"/>
      <c r="AA855" s="17"/>
      <c r="AB855" s="17"/>
      <c r="AC855" s="17"/>
      <c r="AD855" s="17"/>
    </row>
    <row r="856" spans="1:30" ht="19.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8"/>
      <c r="AA856" s="17"/>
      <c r="AB856" s="17"/>
      <c r="AC856" s="17"/>
      <c r="AD856" s="17"/>
    </row>
    <row r="857" spans="1:30" ht="19.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8"/>
      <c r="AA857" s="17"/>
      <c r="AB857" s="17"/>
      <c r="AC857" s="17"/>
      <c r="AD857" s="17"/>
    </row>
    <row r="858" spans="1:30" ht="19.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8"/>
      <c r="AA858" s="17"/>
      <c r="AB858" s="17"/>
      <c r="AC858" s="17"/>
      <c r="AD858" s="17"/>
    </row>
    <row r="859" spans="1:30" ht="19.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8"/>
      <c r="AA859" s="17"/>
      <c r="AB859" s="17"/>
      <c r="AC859" s="17"/>
      <c r="AD859" s="17"/>
    </row>
    <row r="860" spans="1:30" ht="19.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8"/>
      <c r="AA860" s="17"/>
      <c r="AB860" s="17"/>
      <c r="AC860" s="17"/>
      <c r="AD860" s="17"/>
    </row>
    <row r="861" spans="1:30" ht="19.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8"/>
      <c r="AA861" s="17"/>
      <c r="AB861" s="17"/>
      <c r="AC861" s="17"/>
      <c r="AD861" s="17"/>
    </row>
    <row r="862" spans="1:30" ht="19.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8"/>
      <c r="AA862" s="17"/>
      <c r="AB862" s="17"/>
      <c r="AC862" s="17"/>
      <c r="AD862" s="17"/>
    </row>
    <row r="863" spans="1:30" ht="19.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8"/>
      <c r="AA863" s="17"/>
      <c r="AB863" s="17"/>
      <c r="AC863" s="17"/>
      <c r="AD863" s="17"/>
    </row>
    <row r="864" spans="1:30" ht="19.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8"/>
      <c r="AA864" s="17"/>
      <c r="AB864" s="17"/>
      <c r="AC864" s="17"/>
      <c r="AD864" s="17"/>
    </row>
    <row r="865" spans="1:30" ht="19.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8"/>
      <c r="AA865" s="17"/>
      <c r="AB865" s="17"/>
      <c r="AC865" s="17"/>
      <c r="AD865" s="17"/>
    </row>
    <row r="866" spans="1:30" ht="19.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8"/>
      <c r="AA866" s="17"/>
      <c r="AB866" s="17"/>
      <c r="AC866" s="17"/>
      <c r="AD866" s="17"/>
    </row>
    <row r="867" spans="1:30" ht="19.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8"/>
      <c r="AA867" s="17"/>
      <c r="AB867" s="17"/>
      <c r="AC867" s="17"/>
      <c r="AD867" s="17"/>
    </row>
    <row r="868" spans="1:30" ht="19.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8"/>
      <c r="AA868" s="17"/>
      <c r="AB868" s="17"/>
      <c r="AC868" s="17"/>
      <c r="AD868" s="17"/>
    </row>
    <row r="869" spans="1:30" ht="19.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8"/>
      <c r="AA869" s="17"/>
      <c r="AB869" s="17"/>
      <c r="AC869" s="17"/>
      <c r="AD869" s="17"/>
    </row>
    <row r="870" spans="1:30" ht="19.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8"/>
      <c r="AA870" s="17"/>
      <c r="AB870" s="17"/>
      <c r="AC870" s="17"/>
      <c r="AD870" s="17"/>
    </row>
    <row r="871" spans="1:30" ht="19.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8"/>
      <c r="AA871" s="17"/>
      <c r="AB871" s="17"/>
      <c r="AC871" s="17"/>
      <c r="AD871" s="17"/>
    </row>
    <row r="872" spans="1:30" ht="19.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8"/>
      <c r="AA872" s="17"/>
      <c r="AB872" s="17"/>
      <c r="AC872" s="17"/>
      <c r="AD872" s="17"/>
    </row>
    <row r="873" spans="1:30" ht="19.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8"/>
      <c r="AA873" s="17"/>
      <c r="AB873" s="17"/>
      <c r="AC873" s="17"/>
      <c r="AD873" s="17"/>
    </row>
    <row r="874" spans="1:30" ht="19.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8"/>
      <c r="AA874" s="17"/>
      <c r="AB874" s="17"/>
      <c r="AC874" s="17"/>
      <c r="AD874" s="17"/>
    </row>
    <row r="875" spans="1:30" ht="19.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8"/>
      <c r="AA875" s="17"/>
      <c r="AB875" s="17"/>
      <c r="AC875" s="17"/>
      <c r="AD875" s="17"/>
    </row>
    <row r="876" spans="1:30" ht="19.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8"/>
      <c r="AA876" s="17"/>
      <c r="AB876" s="17"/>
      <c r="AC876" s="17"/>
      <c r="AD876" s="17"/>
    </row>
    <row r="877" spans="1:30" ht="19.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8"/>
      <c r="AA877" s="17"/>
      <c r="AB877" s="17"/>
      <c r="AC877" s="17"/>
      <c r="AD877" s="17"/>
    </row>
    <row r="878" spans="1:30" ht="19.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8"/>
      <c r="AA878" s="17"/>
      <c r="AB878" s="17"/>
      <c r="AC878" s="17"/>
      <c r="AD878" s="17"/>
    </row>
    <row r="879" spans="1:30" ht="19.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8"/>
      <c r="AA879" s="17"/>
      <c r="AB879" s="17"/>
      <c r="AC879" s="17"/>
      <c r="AD879" s="17"/>
    </row>
    <row r="880" spans="1:30" ht="19.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8"/>
      <c r="AA880" s="17"/>
      <c r="AB880" s="17"/>
      <c r="AC880" s="17"/>
      <c r="AD880" s="17"/>
    </row>
    <row r="881" spans="1:30" ht="19.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8"/>
      <c r="AA881" s="17"/>
      <c r="AB881" s="17"/>
      <c r="AC881" s="17"/>
      <c r="AD881" s="17"/>
    </row>
    <row r="882" spans="1:30" ht="19.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8"/>
      <c r="AA882" s="17"/>
      <c r="AB882" s="17"/>
      <c r="AC882" s="17"/>
      <c r="AD882" s="17"/>
    </row>
    <row r="883" spans="1:30" ht="19.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8"/>
      <c r="AA883" s="17"/>
      <c r="AB883" s="17"/>
      <c r="AC883" s="17"/>
      <c r="AD883" s="17"/>
    </row>
    <row r="884" spans="1:30" ht="19.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8"/>
      <c r="AA884" s="17"/>
      <c r="AB884" s="17"/>
      <c r="AC884" s="17"/>
      <c r="AD884" s="17"/>
    </row>
    <row r="885" spans="1:30" ht="19.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8"/>
      <c r="AA885" s="17"/>
      <c r="AB885" s="17"/>
      <c r="AC885" s="17"/>
      <c r="AD885" s="17"/>
    </row>
    <row r="886" spans="1:30" ht="19.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8"/>
      <c r="AA886" s="17"/>
      <c r="AB886" s="17"/>
      <c r="AC886" s="17"/>
      <c r="AD886" s="17"/>
    </row>
    <row r="887" spans="1:30" ht="19.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8"/>
      <c r="AA887" s="17"/>
      <c r="AB887" s="17"/>
      <c r="AC887" s="17"/>
      <c r="AD887" s="17"/>
    </row>
    <row r="888" spans="1:30" ht="19.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8"/>
      <c r="AA888" s="17"/>
      <c r="AB888" s="17"/>
      <c r="AC888" s="17"/>
      <c r="AD888" s="17"/>
    </row>
    <row r="889" spans="1:30" ht="19.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8"/>
      <c r="AA889" s="17"/>
      <c r="AB889" s="17"/>
      <c r="AC889" s="17"/>
      <c r="AD889" s="17"/>
    </row>
    <row r="890" spans="1:30" ht="19.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8"/>
      <c r="AA890" s="17"/>
      <c r="AB890" s="17"/>
      <c r="AC890" s="17"/>
      <c r="AD890" s="17"/>
    </row>
    <row r="891" spans="1:30" ht="19.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8"/>
      <c r="AA891" s="17"/>
      <c r="AB891" s="17"/>
      <c r="AC891" s="17"/>
      <c r="AD891" s="17"/>
    </row>
    <row r="892" spans="1:30" ht="19.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8"/>
      <c r="AA892" s="17"/>
      <c r="AB892" s="17"/>
      <c r="AC892" s="17"/>
      <c r="AD892" s="17"/>
    </row>
    <row r="893" spans="1:30" ht="19.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8"/>
      <c r="AA893" s="17"/>
      <c r="AB893" s="17"/>
      <c r="AC893" s="17"/>
      <c r="AD893" s="17"/>
    </row>
    <row r="894" spans="1:30" ht="19.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8"/>
      <c r="AA894" s="17"/>
      <c r="AB894" s="17"/>
      <c r="AC894" s="17"/>
      <c r="AD894" s="17"/>
    </row>
    <row r="895" spans="1:30" ht="19.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8"/>
      <c r="AA895" s="17"/>
      <c r="AB895" s="17"/>
      <c r="AC895" s="17"/>
      <c r="AD895" s="17"/>
    </row>
    <row r="896" spans="1:30" ht="19.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8"/>
      <c r="AA896" s="17"/>
      <c r="AB896" s="17"/>
      <c r="AC896" s="17"/>
      <c r="AD896" s="17"/>
    </row>
    <row r="897" spans="1:30" ht="19.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8"/>
      <c r="AA897" s="17"/>
      <c r="AB897" s="17"/>
      <c r="AC897" s="17"/>
      <c r="AD897" s="17"/>
    </row>
    <row r="898" spans="1:30" ht="19.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8"/>
      <c r="AA898" s="17"/>
      <c r="AB898" s="17"/>
      <c r="AC898" s="17"/>
      <c r="AD898" s="17"/>
    </row>
    <row r="899" spans="1:30" ht="19.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8"/>
      <c r="AA899" s="17"/>
      <c r="AB899" s="17"/>
      <c r="AC899" s="17"/>
      <c r="AD899" s="17"/>
    </row>
    <row r="900" spans="1:30" ht="19.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8"/>
      <c r="AA900" s="17"/>
      <c r="AB900" s="17"/>
      <c r="AC900" s="17"/>
      <c r="AD900" s="17"/>
    </row>
    <row r="901" spans="1:30" ht="19.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8"/>
      <c r="AA901" s="17"/>
      <c r="AB901" s="17"/>
      <c r="AC901" s="17"/>
      <c r="AD901" s="17"/>
    </row>
    <row r="902" spans="1:30" ht="19.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8"/>
      <c r="AA902" s="17"/>
      <c r="AB902" s="17"/>
      <c r="AC902" s="17"/>
      <c r="AD902" s="17"/>
    </row>
    <row r="903" spans="1:30" ht="19.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8"/>
      <c r="AA903" s="17"/>
      <c r="AB903" s="17"/>
      <c r="AC903" s="17"/>
      <c r="AD903" s="17"/>
    </row>
    <row r="904" spans="1:30" ht="19.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8"/>
      <c r="AA904" s="17"/>
      <c r="AB904" s="17"/>
      <c r="AC904" s="17"/>
      <c r="AD904" s="17"/>
    </row>
    <row r="905" spans="1:30" ht="19.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8"/>
      <c r="AA905" s="17"/>
      <c r="AB905" s="17"/>
      <c r="AC905" s="17"/>
      <c r="AD905" s="17"/>
    </row>
    <row r="906" spans="1:30" ht="19.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8"/>
      <c r="AA906" s="17"/>
      <c r="AB906" s="17"/>
      <c r="AC906" s="17"/>
      <c r="AD906" s="17"/>
    </row>
    <row r="907" spans="1:30" ht="19.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8"/>
      <c r="AA907" s="17"/>
      <c r="AB907" s="17"/>
      <c r="AC907" s="17"/>
      <c r="AD907" s="17"/>
    </row>
    <row r="908" spans="1:30" ht="19.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8"/>
      <c r="AA908" s="17"/>
      <c r="AB908" s="17"/>
      <c r="AC908" s="17"/>
      <c r="AD908" s="17"/>
    </row>
    <row r="909" spans="1:30" ht="19.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8"/>
      <c r="AA909" s="17"/>
      <c r="AB909" s="17"/>
      <c r="AC909" s="17"/>
      <c r="AD909" s="17"/>
    </row>
    <row r="910" spans="1:30" ht="19.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8"/>
      <c r="AA910" s="17"/>
      <c r="AB910" s="17"/>
      <c r="AC910" s="17"/>
      <c r="AD910" s="17"/>
    </row>
    <row r="911" spans="1:30" ht="19.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8"/>
      <c r="AA911" s="17"/>
      <c r="AB911" s="17"/>
      <c r="AC911" s="17"/>
      <c r="AD911" s="17"/>
    </row>
    <row r="912" spans="1:30" ht="19.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8"/>
      <c r="AA912" s="17"/>
      <c r="AB912" s="17"/>
      <c r="AC912" s="17"/>
      <c r="AD912" s="17"/>
    </row>
    <row r="913" spans="1:30" ht="19.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8"/>
      <c r="AA913" s="17"/>
      <c r="AB913" s="17"/>
      <c r="AC913" s="17"/>
      <c r="AD913" s="17"/>
    </row>
    <row r="914" spans="1:30" ht="19.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8"/>
      <c r="AA914" s="17"/>
      <c r="AB914" s="17"/>
      <c r="AC914" s="17"/>
      <c r="AD914" s="17"/>
    </row>
    <row r="915" spans="1:30" ht="19.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8"/>
      <c r="AA915" s="17"/>
      <c r="AB915" s="17"/>
      <c r="AC915" s="17"/>
      <c r="AD915" s="17"/>
    </row>
    <row r="916" spans="1:30" ht="19.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8"/>
      <c r="AA916" s="17"/>
      <c r="AB916" s="17"/>
      <c r="AC916" s="17"/>
      <c r="AD916" s="17"/>
    </row>
    <row r="917" spans="1:30" ht="19.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8"/>
      <c r="AA917" s="17"/>
      <c r="AB917" s="17"/>
      <c r="AC917" s="17"/>
      <c r="AD917" s="17"/>
    </row>
    <row r="918" spans="1:30" ht="19.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8"/>
      <c r="AA918" s="17"/>
      <c r="AB918" s="17"/>
      <c r="AC918" s="17"/>
      <c r="AD918" s="17"/>
    </row>
    <row r="919" spans="1:30" ht="19.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8"/>
      <c r="AA919" s="17"/>
      <c r="AB919" s="17"/>
      <c r="AC919" s="17"/>
      <c r="AD919" s="17"/>
    </row>
    <row r="920" spans="1:30" ht="19.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8"/>
      <c r="AA920" s="17"/>
      <c r="AB920" s="17"/>
      <c r="AC920" s="17"/>
      <c r="AD920" s="17"/>
    </row>
    <row r="921" spans="1:30" ht="19.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8"/>
      <c r="AA921" s="17"/>
      <c r="AB921" s="17"/>
      <c r="AC921" s="17"/>
      <c r="AD921" s="17"/>
    </row>
    <row r="922" spans="1:30" ht="19.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8"/>
      <c r="AA922" s="17"/>
      <c r="AB922" s="17"/>
      <c r="AC922" s="17"/>
      <c r="AD922" s="17"/>
    </row>
    <row r="923" spans="1:30" ht="19.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8"/>
      <c r="AA923" s="17"/>
      <c r="AB923" s="17"/>
      <c r="AC923" s="17"/>
      <c r="AD923" s="17"/>
    </row>
    <row r="924" spans="1:30" ht="19.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8"/>
      <c r="AA924" s="17"/>
      <c r="AB924" s="17"/>
      <c r="AC924" s="17"/>
      <c r="AD924" s="17"/>
    </row>
    <row r="925" spans="1:30" ht="19.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8"/>
      <c r="AA925" s="17"/>
      <c r="AB925" s="17"/>
      <c r="AC925" s="17"/>
      <c r="AD925" s="17"/>
    </row>
    <row r="926" spans="1:30" ht="19.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8"/>
      <c r="AA926" s="17"/>
      <c r="AB926" s="17"/>
      <c r="AC926" s="17"/>
      <c r="AD926" s="17"/>
    </row>
    <row r="927" spans="1:30" ht="19.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8"/>
      <c r="AA927" s="17"/>
      <c r="AB927" s="17"/>
      <c r="AC927" s="17"/>
      <c r="AD927" s="17"/>
    </row>
    <row r="928" spans="1:30" ht="19.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8"/>
      <c r="AA928" s="17"/>
      <c r="AB928" s="17"/>
      <c r="AC928" s="17"/>
      <c r="AD928" s="17"/>
    </row>
    <row r="929" spans="1:30" ht="19.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8"/>
      <c r="AA929" s="17"/>
      <c r="AB929" s="17"/>
      <c r="AC929" s="17"/>
      <c r="AD929" s="17"/>
    </row>
    <row r="930" spans="1:30" ht="19.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8"/>
      <c r="AA930" s="17"/>
      <c r="AB930" s="17"/>
      <c r="AC930" s="17"/>
      <c r="AD930" s="17"/>
    </row>
    <row r="931" spans="1:30" ht="19.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8"/>
      <c r="AA931" s="17"/>
      <c r="AB931" s="17"/>
      <c r="AC931" s="17"/>
      <c r="AD931" s="17"/>
    </row>
    <row r="932" spans="1:30" ht="19.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8"/>
      <c r="AA932" s="17"/>
      <c r="AB932" s="17"/>
      <c r="AC932" s="17"/>
      <c r="AD932" s="17"/>
    </row>
    <row r="933" spans="1:30" ht="19.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8"/>
      <c r="AA933" s="17"/>
      <c r="AB933" s="17"/>
      <c r="AC933" s="17"/>
      <c r="AD933" s="17"/>
    </row>
    <row r="934" spans="1:30" ht="19.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8"/>
      <c r="AA934" s="17"/>
      <c r="AB934" s="17"/>
      <c r="AC934" s="17"/>
      <c r="AD934" s="17"/>
    </row>
    <row r="935" spans="1:30" ht="19.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8"/>
      <c r="AA935" s="17"/>
      <c r="AB935" s="17"/>
      <c r="AC935" s="17"/>
      <c r="AD935" s="17"/>
    </row>
    <row r="936" spans="1:30" ht="19.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8"/>
      <c r="AA936" s="17"/>
      <c r="AB936" s="17"/>
      <c r="AC936" s="17"/>
      <c r="AD936" s="17"/>
    </row>
    <row r="937" spans="1:30" ht="19.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8"/>
      <c r="AA937" s="17"/>
      <c r="AB937" s="17"/>
      <c r="AC937" s="17"/>
      <c r="AD937" s="17"/>
    </row>
    <row r="938" spans="1:30" ht="19.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8"/>
      <c r="AA938" s="17"/>
      <c r="AB938" s="17"/>
      <c r="AC938" s="17"/>
      <c r="AD938" s="17"/>
    </row>
    <row r="939" spans="1:30" ht="19.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8"/>
      <c r="AA939" s="17"/>
      <c r="AB939" s="17"/>
      <c r="AC939" s="17"/>
      <c r="AD939" s="17"/>
    </row>
    <row r="940" spans="1:30" ht="19.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8"/>
      <c r="AA940" s="17"/>
      <c r="AB940" s="17"/>
      <c r="AC940" s="17"/>
      <c r="AD940" s="17"/>
    </row>
    <row r="941" spans="1:30" ht="19.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8"/>
      <c r="AA941" s="17"/>
      <c r="AB941" s="17"/>
      <c r="AC941" s="17"/>
      <c r="AD941" s="17"/>
    </row>
    <row r="942" spans="1:30" ht="19.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8"/>
      <c r="AA942" s="17"/>
      <c r="AB942" s="17"/>
      <c r="AC942" s="17"/>
      <c r="AD942" s="17"/>
    </row>
    <row r="943" spans="1:30" ht="19.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8"/>
      <c r="AA943" s="17"/>
      <c r="AB943" s="17"/>
      <c r="AC943" s="17"/>
      <c r="AD943" s="17"/>
    </row>
    <row r="944" spans="1:30" ht="19.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8"/>
      <c r="AA944" s="17"/>
      <c r="AB944" s="17"/>
      <c r="AC944" s="17"/>
      <c r="AD944" s="17"/>
    </row>
    <row r="945" spans="1:30" ht="19.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8"/>
      <c r="AA945" s="17"/>
      <c r="AB945" s="17"/>
      <c r="AC945" s="17"/>
      <c r="AD945" s="17"/>
    </row>
    <row r="946" spans="1:30" ht="19.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8"/>
      <c r="AA946" s="17"/>
      <c r="AB946" s="17"/>
      <c r="AC946" s="17"/>
      <c r="AD946" s="17"/>
    </row>
    <row r="947" spans="1:30" ht="19.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8"/>
      <c r="AA947" s="17"/>
      <c r="AB947" s="17"/>
      <c r="AC947" s="17"/>
      <c r="AD947" s="17"/>
    </row>
    <row r="948" spans="1:30" ht="19.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8"/>
      <c r="AA948" s="17"/>
      <c r="AB948" s="17"/>
      <c r="AC948" s="17"/>
      <c r="AD948" s="17"/>
    </row>
    <row r="949" spans="1:30" ht="19.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8"/>
      <c r="AA949" s="17"/>
      <c r="AB949" s="17"/>
      <c r="AC949" s="17"/>
      <c r="AD949" s="17"/>
    </row>
    <row r="950" spans="1:30" ht="19.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8"/>
      <c r="AA950" s="17"/>
      <c r="AB950" s="17"/>
      <c r="AC950" s="17"/>
      <c r="AD950" s="17"/>
    </row>
    <row r="951" spans="1:30" ht="19.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8"/>
      <c r="AA951" s="17"/>
      <c r="AB951" s="17"/>
      <c r="AC951" s="17"/>
      <c r="AD951" s="17"/>
    </row>
    <row r="952" spans="1:30" ht="19.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8"/>
      <c r="AA952" s="17"/>
      <c r="AB952" s="17"/>
      <c r="AC952" s="17"/>
      <c r="AD952" s="17"/>
    </row>
    <row r="953" spans="1:30" ht="19.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8"/>
      <c r="AA953" s="17"/>
      <c r="AB953" s="17"/>
      <c r="AC953" s="17"/>
      <c r="AD953" s="17"/>
    </row>
    <row r="954" spans="1:30" ht="19.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8"/>
      <c r="AA954" s="17"/>
      <c r="AB954" s="17"/>
      <c r="AC954" s="17"/>
      <c r="AD954" s="17"/>
    </row>
    <row r="955" spans="1:30" ht="19.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8"/>
      <c r="AA955" s="17"/>
      <c r="AB955" s="17"/>
      <c r="AC955" s="17"/>
      <c r="AD955" s="17"/>
    </row>
    <row r="956" spans="1:30" ht="19.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8"/>
      <c r="AA956" s="17"/>
      <c r="AB956" s="17"/>
      <c r="AC956" s="17"/>
      <c r="AD956" s="17"/>
    </row>
    <row r="957" spans="1:30" ht="19.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8"/>
      <c r="AA957" s="17"/>
      <c r="AB957" s="17"/>
      <c r="AC957" s="17"/>
      <c r="AD957" s="17"/>
    </row>
    <row r="958" spans="1:30" ht="19.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8"/>
      <c r="AA958" s="17"/>
      <c r="AB958" s="17"/>
      <c r="AC958" s="17"/>
      <c r="AD958" s="17"/>
    </row>
    <row r="959" spans="1:30" ht="19.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8"/>
      <c r="AA959" s="17"/>
      <c r="AB959" s="17"/>
      <c r="AC959" s="17"/>
      <c r="AD959" s="17"/>
    </row>
    <row r="960" spans="1:30" ht="19.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8"/>
      <c r="AA960" s="17"/>
      <c r="AB960" s="17"/>
      <c r="AC960" s="17"/>
      <c r="AD960" s="17"/>
    </row>
    <row r="961" spans="1:30" ht="19.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8"/>
      <c r="AA961" s="17"/>
      <c r="AB961" s="17"/>
      <c r="AC961" s="17"/>
      <c r="AD961" s="17"/>
    </row>
    <row r="962" spans="1:30" ht="19.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8"/>
      <c r="AA962" s="17"/>
      <c r="AB962" s="17"/>
      <c r="AC962" s="17"/>
      <c r="AD962" s="17"/>
    </row>
    <row r="963" spans="1:30" ht="19.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8"/>
      <c r="AA963" s="17"/>
      <c r="AB963" s="17"/>
      <c r="AC963" s="17"/>
      <c r="AD963" s="17"/>
    </row>
    <row r="964" spans="1:30" ht="19.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8"/>
      <c r="AA964" s="17"/>
      <c r="AB964" s="17"/>
      <c r="AC964" s="17"/>
      <c r="AD964" s="17"/>
    </row>
    <row r="965" spans="1:30" ht="19.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8"/>
      <c r="AA965" s="17"/>
      <c r="AB965" s="17"/>
      <c r="AC965" s="17"/>
      <c r="AD965" s="17"/>
    </row>
    <row r="966" spans="1:30" ht="19.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8"/>
      <c r="AA966" s="17"/>
      <c r="AB966" s="17"/>
      <c r="AC966" s="17"/>
      <c r="AD966" s="17"/>
    </row>
    <row r="967" spans="1:30" ht="19.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8"/>
      <c r="AA967" s="17"/>
      <c r="AB967" s="17"/>
      <c r="AC967" s="17"/>
      <c r="AD967" s="17"/>
    </row>
    <row r="968" spans="1:30" ht="19.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8"/>
      <c r="AA968" s="17"/>
      <c r="AB968" s="17"/>
      <c r="AC968" s="17"/>
      <c r="AD968" s="17"/>
    </row>
    <row r="969" spans="1:30" ht="19.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8"/>
      <c r="AA969" s="17"/>
      <c r="AB969" s="17"/>
      <c r="AC969" s="17"/>
      <c r="AD969" s="17"/>
    </row>
    <row r="970" spans="1:30" ht="19.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8"/>
      <c r="AA970" s="17"/>
      <c r="AB970" s="17"/>
      <c r="AC970" s="17"/>
      <c r="AD970" s="17"/>
    </row>
    <row r="971" spans="1:30" ht="19.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8"/>
      <c r="AA971" s="17"/>
      <c r="AB971" s="17"/>
      <c r="AC971" s="17"/>
      <c r="AD971" s="17"/>
    </row>
    <row r="972" spans="1:30" ht="19.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8"/>
      <c r="AA972" s="17"/>
      <c r="AB972" s="17"/>
      <c r="AC972" s="17"/>
      <c r="AD972" s="17"/>
    </row>
    <row r="973" spans="1:30" ht="19.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8"/>
      <c r="AA973" s="17"/>
      <c r="AB973" s="17"/>
      <c r="AC973" s="17"/>
      <c r="AD973" s="17"/>
    </row>
    <row r="974" spans="1:30" ht="19.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8"/>
      <c r="AA974" s="17"/>
      <c r="AB974" s="17"/>
      <c r="AC974" s="17"/>
      <c r="AD974" s="17"/>
    </row>
    <row r="975" spans="1:30" ht="19.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8"/>
      <c r="AA975" s="17"/>
      <c r="AB975" s="17"/>
      <c r="AC975" s="17"/>
      <c r="AD975" s="17"/>
    </row>
    <row r="976" spans="1:30" ht="19.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8"/>
      <c r="AA976" s="17"/>
      <c r="AB976" s="17"/>
      <c r="AC976" s="17"/>
      <c r="AD976" s="17"/>
    </row>
    <row r="977" spans="1:30" ht="19.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8"/>
      <c r="AA977" s="17"/>
      <c r="AB977" s="17"/>
      <c r="AC977" s="17"/>
      <c r="AD977" s="17"/>
    </row>
    <row r="978" spans="1:30" ht="19.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8"/>
      <c r="AA978" s="17"/>
      <c r="AB978" s="17"/>
      <c r="AC978" s="17"/>
      <c r="AD978" s="17"/>
    </row>
    <row r="979" spans="1:30" ht="19.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8"/>
      <c r="AA979" s="17"/>
      <c r="AB979" s="17"/>
      <c r="AC979" s="17"/>
      <c r="AD979" s="17"/>
    </row>
    <row r="980" spans="1:30" ht="19.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8"/>
      <c r="AA980" s="17"/>
      <c r="AB980" s="17"/>
      <c r="AC980" s="17"/>
      <c r="AD980" s="17"/>
    </row>
    <row r="981" spans="1:30" ht="19.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8"/>
      <c r="AA981" s="17"/>
      <c r="AB981" s="17"/>
      <c r="AC981" s="17"/>
      <c r="AD981" s="17"/>
    </row>
    <row r="982" spans="1:30" ht="19.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8"/>
      <c r="AA982" s="17"/>
      <c r="AB982" s="17"/>
      <c r="AC982" s="17"/>
      <c r="AD982" s="17"/>
    </row>
    <row r="983" spans="1:30" ht="19.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8"/>
      <c r="AA983" s="17"/>
      <c r="AB983" s="17"/>
      <c r="AC983" s="17"/>
      <c r="AD983" s="17"/>
    </row>
    <row r="984" spans="1:30" ht="19.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8"/>
      <c r="AA984" s="17"/>
      <c r="AB984" s="17"/>
      <c r="AC984" s="17"/>
      <c r="AD984" s="17"/>
    </row>
    <row r="985" spans="1:30" ht="19.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8"/>
      <c r="AA985" s="17"/>
      <c r="AB985" s="17"/>
      <c r="AC985" s="17"/>
      <c r="AD985" s="17"/>
    </row>
    <row r="986" spans="1:30" ht="19.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8"/>
      <c r="AA986" s="17"/>
      <c r="AB986" s="17"/>
      <c r="AC986" s="17"/>
      <c r="AD986" s="17"/>
    </row>
    <row r="987" spans="1:30" ht="19.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8"/>
      <c r="AA987" s="17"/>
      <c r="AB987" s="17"/>
      <c r="AC987" s="17"/>
      <c r="AD987" s="17"/>
    </row>
    <row r="988" spans="1:30" ht="19.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8"/>
      <c r="AA988" s="17"/>
      <c r="AB988" s="17"/>
      <c r="AC988" s="17"/>
      <c r="AD988" s="17"/>
    </row>
    <row r="989" spans="1:30" ht="19.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8"/>
      <c r="AA989" s="17"/>
      <c r="AB989" s="17"/>
      <c r="AC989" s="17"/>
      <c r="AD989" s="17"/>
    </row>
    <row r="990" spans="1:30" ht="19.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8"/>
      <c r="AA990" s="17"/>
      <c r="AB990" s="17"/>
      <c r="AC990" s="17"/>
      <c r="AD990" s="17"/>
    </row>
    <row r="991" spans="1:30" ht="19.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8"/>
      <c r="AA991" s="17"/>
      <c r="AB991" s="17"/>
      <c r="AC991" s="17"/>
      <c r="AD991" s="17"/>
    </row>
    <row r="992" spans="1:30" ht="19.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8"/>
      <c r="AA992" s="17"/>
      <c r="AB992" s="17"/>
      <c r="AC992" s="17"/>
      <c r="AD992" s="17"/>
    </row>
    <row r="993" spans="1:30" ht="19.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8"/>
      <c r="AA993" s="17"/>
      <c r="AB993" s="17"/>
      <c r="AC993" s="17"/>
      <c r="AD993" s="17"/>
    </row>
    <row r="994" spans="1:30" ht="19.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8"/>
      <c r="AA994" s="17"/>
      <c r="AB994" s="17"/>
      <c r="AC994" s="17"/>
      <c r="AD994" s="17"/>
    </row>
    <row r="995" spans="1:30" ht="19.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8"/>
      <c r="AA995" s="17"/>
      <c r="AB995" s="17"/>
      <c r="AC995" s="17"/>
      <c r="AD995" s="17"/>
    </row>
    <row r="996" spans="1:30" ht="19.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8"/>
      <c r="AA996" s="17"/>
      <c r="AB996" s="17"/>
      <c r="AC996" s="17"/>
      <c r="AD996" s="17"/>
    </row>
    <row r="997" spans="1:30" ht="19.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8"/>
      <c r="AA997" s="17"/>
      <c r="AB997" s="17"/>
      <c r="AC997" s="17"/>
      <c r="AD997" s="17"/>
    </row>
    <row r="998" spans="1:30" ht="19.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8"/>
      <c r="AA998" s="17"/>
      <c r="AB998" s="17"/>
      <c r="AC998" s="17"/>
      <c r="AD998" s="17"/>
    </row>
    <row r="999" spans="1:30" ht="19.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8"/>
      <c r="AA999" s="17"/>
      <c r="AB999" s="17"/>
      <c r="AC999" s="17"/>
      <c r="AD999" s="17"/>
    </row>
    <row r="1000" spans="1:30" ht="19.5" customHeight="1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8"/>
      <c r="AA1000" s="17"/>
      <c r="AB1000" s="17"/>
      <c r="AC1000" s="17"/>
      <c r="AD1000" s="17"/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B270-8A89-D541-8017-E42B10E842C9}">
  <dimension ref="A1:N24"/>
  <sheetViews>
    <sheetView workbookViewId="0">
      <selection activeCell="D26" sqref="D26"/>
    </sheetView>
  </sheetViews>
  <sheetFormatPr baseColWidth="10" defaultRowHeight="16" x14ac:dyDescent="0.2"/>
  <cols>
    <col min="1" max="1" width="21.5" customWidth="1"/>
    <col min="2" max="2" width="22" customWidth="1"/>
    <col min="3" max="3" width="21.33203125" customWidth="1"/>
    <col min="5" max="5" width="17.33203125" customWidth="1"/>
    <col min="6" max="6" width="11.6640625" customWidth="1"/>
  </cols>
  <sheetData>
    <row r="1" spans="1:14" x14ac:dyDescent="0.2">
      <c r="A1" t="s">
        <v>159</v>
      </c>
      <c r="F1" s="48" t="s">
        <v>160</v>
      </c>
      <c r="G1" s="48"/>
      <c r="H1" s="48"/>
      <c r="I1" s="48"/>
      <c r="J1" s="48"/>
      <c r="K1" s="48"/>
      <c r="L1" s="48"/>
      <c r="M1" s="48"/>
      <c r="N1" s="48"/>
    </row>
    <row r="3" spans="1:14" x14ac:dyDescent="0.2">
      <c r="A3" s="51" t="s">
        <v>161</v>
      </c>
      <c r="B3" s="52"/>
      <c r="C3" s="53"/>
      <c r="E3">
        <v>2018</v>
      </c>
      <c r="F3" s="34"/>
      <c r="G3" s="34"/>
      <c r="H3" s="34"/>
      <c r="I3" s="34"/>
      <c r="J3" s="35">
        <v>12000</v>
      </c>
      <c r="K3" s="34"/>
      <c r="L3" s="34"/>
      <c r="M3" s="34"/>
      <c r="N3" s="34"/>
    </row>
    <row r="4" spans="1:14" x14ac:dyDescent="0.2">
      <c r="A4" s="54"/>
      <c r="B4" s="55"/>
      <c r="C4" s="56"/>
      <c r="F4" s="34"/>
      <c r="G4" s="34"/>
      <c r="H4" s="34" t="s">
        <v>162</v>
      </c>
      <c r="I4" s="36"/>
      <c r="J4" s="34"/>
      <c r="K4" s="37"/>
      <c r="L4" s="34" t="s">
        <v>163</v>
      </c>
      <c r="M4" s="34"/>
      <c r="N4" s="34"/>
    </row>
    <row r="5" spans="1:14" x14ac:dyDescent="0.2">
      <c r="A5" s="57" t="s">
        <v>164</v>
      </c>
      <c r="B5" s="58"/>
      <c r="C5" s="59"/>
      <c r="E5">
        <v>2019</v>
      </c>
      <c r="F5" s="34"/>
      <c r="G5" s="34"/>
      <c r="H5" s="35">
        <v>21000</v>
      </c>
      <c r="I5" s="35"/>
      <c r="J5" s="34"/>
      <c r="K5" s="35"/>
      <c r="L5" s="34">
        <v>3000</v>
      </c>
      <c r="M5" s="34"/>
      <c r="N5" s="34"/>
    </row>
    <row r="6" spans="1:14" x14ac:dyDescent="0.2">
      <c r="A6" s="38"/>
      <c r="B6" s="38" t="s">
        <v>165</v>
      </c>
      <c r="C6" s="38" t="s">
        <v>166</v>
      </c>
      <c r="F6" s="34"/>
      <c r="G6" s="36"/>
      <c r="H6" s="34"/>
      <c r="I6" s="37"/>
      <c r="J6" s="34"/>
      <c r="K6" s="36"/>
      <c r="L6" s="34"/>
      <c r="M6" s="37"/>
      <c r="N6" s="34"/>
    </row>
    <row r="7" spans="1:14" x14ac:dyDescent="0.2">
      <c r="A7" s="38" t="s">
        <v>167</v>
      </c>
      <c r="B7" s="39">
        <v>3000</v>
      </c>
      <c r="C7" s="39">
        <v>3000</v>
      </c>
      <c r="E7">
        <v>2020</v>
      </c>
      <c r="F7" s="35">
        <v>36750</v>
      </c>
      <c r="G7" s="34"/>
      <c r="H7" s="35"/>
      <c r="I7" s="34"/>
      <c r="J7" s="35">
        <v>5250</v>
      </c>
      <c r="K7" s="34"/>
      <c r="L7" s="34"/>
      <c r="M7" s="34"/>
      <c r="N7" s="34">
        <v>750</v>
      </c>
    </row>
    <row r="8" spans="1:14" x14ac:dyDescent="0.2">
      <c r="A8" s="38" t="s">
        <v>168</v>
      </c>
      <c r="B8" s="39">
        <v>2500</v>
      </c>
      <c r="C8" s="39">
        <v>2500</v>
      </c>
      <c r="F8" s="33" t="s">
        <v>169</v>
      </c>
      <c r="J8" t="s">
        <v>170</v>
      </c>
      <c r="N8" t="s">
        <v>171</v>
      </c>
    </row>
    <row r="9" spans="1:14" x14ac:dyDescent="0.2">
      <c r="A9" s="38" t="s">
        <v>172</v>
      </c>
      <c r="B9" s="40">
        <v>0.75</v>
      </c>
      <c r="C9" s="40">
        <v>-0.75</v>
      </c>
      <c r="J9" t="s">
        <v>173</v>
      </c>
    </row>
    <row r="10" spans="1:14" x14ac:dyDescent="0.2">
      <c r="A10" s="38"/>
      <c r="B10" s="38"/>
      <c r="C10" s="38"/>
    </row>
    <row r="11" spans="1:14" x14ac:dyDescent="0.2">
      <c r="A11" s="38" t="s">
        <v>174</v>
      </c>
      <c r="B11" s="39">
        <f>B7*1.75</f>
        <v>5250</v>
      </c>
      <c r="C11" s="39">
        <f>C7*0.25</f>
        <v>750</v>
      </c>
    </row>
    <row r="12" spans="1:14" x14ac:dyDescent="0.2">
      <c r="A12" s="38"/>
      <c r="B12" s="38"/>
      <c r="C12" s="38"/>
      <c r="I12" t="s">
        <v>175</v>
      </c>
    </row>
    <row r="13" spans="1:14" x14ac:dyDescent="0.2">
      <c r="A13" s="38" t="s">
        <v>176</v>
      </c>
      <c r="B13" s="39">
        <f>MAX(B8-B11,0)</f>
        <v>0</v>
      </c>
      <c r="C13" s="39">
        <f>MAX(C8-C11,0)</f>
        <v>1750</v>
      </c>
    </row>
    <row r="15" spans="1:14" x14ac:dyDescent="0.2">
      <c r="K15" s="41"/>
      <c r="L15" t="s">
        <v>177</v>
      </c>
    </row>
    <row r="16" spans="1:14" x14ac:dyDescent="0.2">
      <c r="A16" t="s">
        <v>178</v>
      </c>
      <c r="I16" s="41"/>
      <c r="J16" t="s">
        <v>179</v>
      </c>
    </row>
    <row r="17" spans="1:12" x14ac:dyDescent="0.2">
      <c r="G17" t="s">
        <v>174</v>
      </c>
      <c r="H17" s="42">
        <f>((B24*0)+(1-B24)*834.97)/(1+B23)</f>
        <v>398.38437908496735</v>
      </c>
      <c r="L17" t="s">
        <v>180</v>
      </c>
    </row>
    <row r="18" spans="1:12" x14ac:dyDescent="0.2">
      <c r="A18" t="s">
        <v>181</v>
      </c>
      <c r="B18" s="43">
        <f>(B13-C13)/(B11-C11)</f>
        <v>-0.3888888888888889</v>
      </c>
      <c r="I18" s="44"/>
      <c r="J18" t="s">
        <v>182</v>
      </c>
    </row>
    <row r="19" spans="1:12" x14ac:dyDescent="0.2">
      <c r="A19" t="s">
        <v>183</v>
      </c>
      <c r="B19" s="45">
        <f>(C13-B18*C11)/(1+B23)</f>
        <v>2001.6339869281046</v>
      </c>
      <c r="K19" s="44"/>
      <c r="L19" t="s">
        <v>184</v>
      </c>
    </row>
    <row r="20" spans="1:12" x14ac:dyDescent="0.2">
      <c r="A20" t="s">
        <v>185</v>
      </c>
      <c r="B20" s="45">
        <f>B18*B7+B19</f>
        <v>834.96732026143786</v>
      </c>
    </row>
    <row r="21" spans="1:12" x14ac:dyDescent="0.2">
      <c r="F21" s="46" t="s">
        <v>186</v>
      </c>
    </row>
    <row r="22" spans="1:12" x14ac:dyDescent="0.2">
      <c r="F22" s="47" t="s">
        <v>187</v>
      </c>
    </row>
    <row r="23" spans="1:12" x14ac:dyDescent="0.2">
      <c r="A23" t="s">
        <v>188</v>
      </c>
      <c r="B23" s="33">
        <v>0.02</v>
      </c>
    </row>
    <row r="24" spans="1:12" x14ac:dyDescent="0.2">
      <c r="A24" t="s">
        <v>189</v>
      </c>
      <c r="B24" s="43">
        <f>(1+2%-0.25)/(1.75-0.25)</f>
        <v>0.51333333333333331</v>
      </c>
    </row>
  </sheetData>
  <mergeCells count="3">
    <mergeCell ref="F1:N1"/>
    <mergeCell ref="A3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Évaluation d'Actions &amp; Stratégi</vt:lpstr>
      <vt:lpstr>Gestion de la Dette &amp; Arbitrage</vt:lpstr>
      <vt:lpstr>Data Démantèlement</vt:lpstr>
      <vt:lpstr>Modélisation de Passifs &amp; Renta</vt:lpstr>
      <vt:lpstr>Optimisation de Portefeuille (M</vt:lpstr>
      <vt:lpstr>Pricing d'Options &amp; Ingénierie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 </cp:lastModifiedBy>
  <dcterms:created xsi:type="dcterms:W3CDTF">2026-01-24T15:05:57Z</dcterms:created>
  <dcterms:modified xsi:type="dcterms:W3CDTF">2026-01-25T17:24:46Z</dcterms:modified>
</cp:coreProperties>
</file>